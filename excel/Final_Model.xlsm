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filterPrivacy="1" codeName="ThisWorkbook" defaultThemeVersion="124226"/>
  <xr:revisionPtr revIDLastSave="0" documentId="8_{9449AE36-20B1-1B49-9045-EF8CFA3435D7}" xr6:coauthVersionLast="47" xr6:coauthVersionMax="47" xr10:uidLastSave="{00000000-0000-0000-0000-000000000000}"/>
  <bookViews>
    <workbookView xWindow="0" yWindow="500" windowWidth="23260" windowHeight="13180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20" r:id="rId11"/>
    <sheet name="Cash flows" sheetId="21" r:id="rId12"/>
    <sheet name="Ebitda bridge" sheetId="22" r:id="rId13"/>
    <sheet name="Working capital" sheetId="23" r:id="rId14"/>
    <sheet name="DCF results" sheetId="24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3" l="1"/>
  <c r="B5" i="23"/>
  <c r="B4" i="23"/>
  <c r="K3" i="23"/>
  <c r="J3" i="23"/>
  <c r="I3" i="23"/>
  <c r="H3" i="23"/>
  <c r="G3" i="23"/>
  <c r="E3" i="23"/>
  <c r="D3" i="23"/>
  <c r="C3" i="23"/>
  <c r="B3" i="23"/>
  <c r="B4" i="20"/>
  <c r="K3" i="20"/>
  <c r="J3" i="20"/>
  <c r="I3" i="20"/>
  <c r="H3" i="20"/>
  <c r="G3" i="20"/>
  <c r="E3" i="20"/>
  <c r="D3" i="20"/>
  <c r="C3" i="20"/>
  <c r="B3" i="20"/>
  <c r="O4" i="22"/>
  <c r="N4" i="22"/>
  <c r="M4" i="22"/>
  <c r="L4" i="22"/>
  <c r="K4" i="22"/>
  <c r="K10" i="11" l="1"/>
  <c r="J10" i="11"/>
  <c r="I10" i="11"/>
  <c r="H10" i="11"/>
  <c r="G10" i="11"/>
  <c r="G19" i="7" l="1"/>
  <c r="G27" i="6" s="1"/>
  <c r="K6" i="7"/>
  <c r="J6" i="7"/>
  <c r="I6" i="7"/>
  <c r="H4" i="7"/>
  <c r="G4" i="7"/>
  <c r="E19" i="7"/>
  <c r="D19" i="7"/>
  <c r="C19" i="7"/>
  <c r="E12" i="7"/>
  <c r="D12" i="7"/>
  <c r="C12" i="7"/>
  <c r="D31" i="6" s="1"/>
  <c r="E6" i="7"/>
  <c r="H6" i="7" s="1"/>
  <c r="D6" i="7"/>
  <c r="C6" i="7"/>
  <c r="E4" i="7"/>
  <c r="D4" i="7"/>
  <c r="C4" i="7"/>
  <c r="E31" i="6" l="1"/>
  <c r="D34" i="6"/>
  <c r="D19" i="6"/>
  <c r="E19" i="6"/>
  <c r="I4" i="7"/>
  <c r="I19" i="6" s="1"/>
  <c r="C19" i="11"/>
  <c r="E27" i="6"/>
  <c r="J4" i="7"/>
  <c r="K4" i="7"/>
  <c r="K19" i="6" s="1"/>
  <c r="G6" i="7"/>
  <c r="G19" i="6" s="1"/>
  <c r="J19" i="7"/>
  <c r="J27" i="6" s="1"/>
  <c r="C20" i="11"/>
  <c r="G31" i="6"/>
  <c r="E34" i="6"/>
  <c r="H19" i="6"/>
  <c r="D27" i="6"/>
  <c r="H19" i="7"/>
  <c r="H27" i="6" s="1"/>
  <c r="I19" i="7"/>
  <c r="I27" i="6" s="1"/>
  <c r="K19" i="7"/>
  <c r="K27" i="6" s="1"/>
  <c r="J19" i="6" l="1"/>
  <c r="F6" i="5" l="1"/>
  <c r="F9" i="5" s="1"/>
  <c r="F12" i="5" s="1"/>
  <c r="F15" i="5" s="1"/>
  <c r="F19" i="5" s="1"/>
  <c r="F24" i="5" s="1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6" i="6" l="1"/>
  <c r="D16" i="6"/>
  <c r="E11" i="9" l="1"/>
  <c r="E16" i="7" s="1"/>
  <c r="D11" i="9"/>
  <c r="D16" i="7" s="1"/>
  <c r="C11" i="9"/>
  <c r="C16" i="7" s="1"/>
  <c r="E8" i="9"/>
  <c r="E8" i="7" s="1"/>
  <c r="D8" i="9"/>
  <c r="D8" i="7" s="1"/>
  <c r="E5" i="9"/>
  <c r="E9" i="7" s="1"/>
  <c r="D5" i="9"/>
  <c r="D9" i="7" s="1"/>
  <c r="C8" i="9"/>
  <c r="C8" i="7" s="1"/>
  <c r="C5" i="9"/>
  <c r="C9" i="7" s="1"/>
  <c r="C5" i="23" s="1"/>
  <c r="D6" i="23" l="1"/>
  <c r="D14" i="6"/>
  <c r="E4" i="23"/>
  <c r="E7" i="23" s="1"/>
  <c r="E12" i="6"/>
  <c r="E15" i="6" s="1"/>
  <c r="E14" i="7"/>
  <c r="D4" i="23"/>
  <c r="D12" i="6"/>
  <c r="D14" i="7"/>
  <c r="D5" i="23"/>
  <c r="D13" i="6"/>
  <c r="C6" i="23"/>
  <c r="E6" i="23"/>
  <c r="E14" i="6"/>
  <c r="C4" i="23"/>
  <c r="C14" i="7"/>
  <c r="E5" i="23"/>
  <c r="E13" i="6"/>
  <c r="D15" i="6" l="1"/>
  <c r="C7" i="23"/>
  <c r="D7" i="23"/>
  <c r="K52" i="8" l="1"/>
  <c r="K21" i="5" s="1"/>
  <c r="K6" i="6" s="1"/>
  <c r="J52" i="8"/>
  <c r="J21" i="5" s="1"/>
  <c r="J6" i="6" s="1"/>
  <c r="I52" i="8"/>
  <c r="I21" i="5" s="1"/>
  <c r="I6" i="6" s="1"/>
  <c r="H52" i="8"/>
  <c r="H21" i="5" s="1"/>
  <c r="H6" i="6" s="1"/>
  <c r="G52" i="8"/>
  <c r="G21" i="5" s="1"/>
  <c r="G6" i="6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15" i="8"/>
  <c r="E5" i="5" s="1"/>
  <c r="D15" i="8"/>
  <c r="D5" i="5" s="1"/>
  <c r="E51" i="8"/>
  <c r="E45" i="8"/>
  <c r="E39" i="8"/>
  <c r="E17" i="5" s="1"/>
  <c r="E25" i="6" s="1"/>
  <c r="E33" i="8"/>
  <c r="E27" i="8"/>
  <c r="E21" i="8"/>
  <c r="D51" i="8"/>
  <c r="D45" i="8"/>
  <c r="D39" i="8"/>
  <c r="D17" i="5" s="1"/>
  <c r="D25" i="6" s="1"/>
  <c r="D33" i="8"/>
  <c r="D27" i="8"/>
  <c r="D21" i="8"/>
  <c r="C51" i="8"/>
  <c r="C45" i="8"/>
  <c r="C39" i="8"/>
  <c r="C17" i="5" s="1"/>
  <c r="C33" i="8"/>
  <c r="C27" i="8"/>
  <c r="C21" i="8"/>
  <c r="C15" i="8"/>
  <c r="C5" i="5" s="1"/>
  <c r="C8" i="5" l="1"/>
  <c r="C9" i="9"/>
  <c r="C10" i="23" s="1"/>
  <c r="C12" i="9"/>
  <c r="C11" i="23" s="1"/>
  <c r="E18" i="5"/>
  <c r="E21" i="6" s="1"/>
  <c r="G39" i="8"/>
  <c r="D18" i="5"/>
  <c r="D21" i="6" s="1"/>
  <c r="C14" i="5"/>
  <c r="C18" i="5"/>
  <c r="D14" i="5"/>
  <c r="C11" i="5"/>
  <c r="E22" i="5"/>
  <c r="G15" i="8"/>
  <c r="G5" i="5" s="1"/>
  <c r="C22" i="5"/>
  <c r="D11" i="5"/>
  <c r="D22" i="5"/>
  <c r="E8" i="5"/>
  <c r="E12" i="9"/>
  <c r="E9" i="9"/>
  <c r="E11" i="5"/>
  <c r="D8" i="5"/>
  <c r="D12" i="9"/>
  <c r="D11" i="23" s="1"/>
  <c r="D9" i="9"/>
  <c r="D10" i="23" s="1"/>
  <c r="E14" i="5"/>
  <c r="H39" i="8"/>
  <c r="G17" i="5"/>
  <c r="G25" i="6" s="1"/>
  <c r="K10" i="8"/>
  <c r="J10" i="8"/>
  <c r="I10" i="8"/>
  <c r="H10" i="8"/>
  <c r="G10" i="8"/>
  <c r="E11" i="23" l="1"/>
  <c r="J12" i="9"/>
  <c r="J11" i="23" s="1"/>
  <c r="H12" i="9"/>
  <c r="H11" i="23" s="1"/>
  <c r="K12" i="9"/>
  <c r="K11" i="23" s="1"/>
  <c r="I12" i="9"/>
  <c r="I11" i="23" s="1"/>
  <c r="G12" i="9"/>
  <c r="G11" i="23" s="1"/>
  <c r="E9" i="6"/>
  <c r="E18" i="6"/>
  <c r="E10" i="23"/>
  <c r="I9" i="9"/>
  <c r="I10" i="23" s="1"/>
  <c r="K9" i="9"/>
  <c r="K10" i="23" s="1"/>
  <c r="H9" i="9"/>
  <c r="H10" i="23" s="1"/>
  <c r="J9" i="9"/>
  <c r="J10" i="23" s="1"/>
  <c r="G9" i="9"/>
  <c r="G10" i="23" s="1"/>
  <c r="D9" i="6"/>
  <c r="D18" i="6"/>
  <c r="H15" i="8"/>
  <c r="I15" i="8"/>
  <c r="H5" i="5"/>
  <c r="I39" i="8"/>
  <c r="H17" i="5"/>
  <c r="H25" i="6" s="1"/>
  <c r="D10" i="8"/>
  <c r="E9" i="8"/>
  <c r="D9" i="8"/>
  <c r="C9" i="8"/>
  <c r="E4" i="5" l="1"/>
  <c r="E18" i="9"/>
  <c r="E15" i="9"/>
  <c r="E21" i="9"/>
  <c r="E6" i="9"/>
  <c r="E46" i="8"/>
  <c r="E22" i="8"/>
  <c r="E34" i="8"/>
  <c r="E28" i="8"/>
  <c r="E10" i="8"/>
  <c r="C4" i="5"/>
  <c r="C21" i="9"/>
  <c r="C15" i="9"/>
  <c r="C18" i="9"/>
  <c r="C6" i="9"/>
  <c r="C9" i="23" s="1"/>
  <c r="C28" i="8"/>
  <c r="C22" i="8"/>
  <c r="C46" i="8"/>
  <c r="C34" i="8"/>
  <c r="D4" i="5"/>
  <c r="D15" i="9"/>
  <c r="D18" i="9"/>
  <c r="D21" i="9"/>
  <c r="D6" i="9"/>
  <c r="D9" i="23" s="1"/>
  <c r="D46" i="8"/>
  <c r="D22" i="8"/>
  <c r="D34" i="8"/>
  <c r="D28" i="8"/>
  <c r="G9" i="8"/>
  <c r="J15" i="8"/>
  <c r="I5" i="5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4" i="20" l="1"/>
  <c r="D6" i="5"/>
  <c r="D9" i="5" s="1"/>
  <c r="D12" i="5" s="1"/>
  <c r="C4" i="20"/>
  <c r="C6" i="5"/>
  <c r="C9" i="5" s="1"/>
  <c r="C12" i="5" s="1"/>
  <c r="I18" i="9"/>
  <c r="K18" i="9"/>
  <c r="J18" i="9"/>
  <c r="H18" i="9"/>
  <c r="H17" i="9" s="1"/>
  <c r="H10" i="7" s="1"/>
  <c r="G18" i="9"/>
  <c r="G17" i="9" s="1"/>
  <c r="G10" i="7" s="1"/>
  <c r="G4" i="5"/>
  <c r="G45" i="8"/>
  <c r="G18" i="5" s="1"/>
  <c r="G21" i="6" s="1"/>
  <c r="G21" i="8"/>
  <c r="G33" i="8"/>
  <c r="G14" i="5" s="1"/>
  <c r="G9" i="6" s="1"/>
  <c r="G27" i="8"/>
  <c r="G11" i="5" s="1"/>
  <c r="C6" i="22" s="1"/>
  <c r="N3" i="22" s="1"/>
  <c r="H9" i="8"/>
  <c r="H15" i="9"/>
  <c r="H14" i="9" s="1"/>
  <c r="H5" i="7" s="1"/>
  <c r="G15" i="9"/>
  <c r="G14" i="9" s="1"/>
  <c r="G5" i="7" s="1"/>
  <c r="I15" i="9"/>
  <c r="J15" i="9"/>
  <c r="K15" i="9"/>
  <c r="E9" i="23"/>
  <c r="K6" i="9"/>
  <c r="K9" i="23" s="1"/>
  <c r="I6" i="9"/>
  <c r="I9" i="23" s="1"/>
  <c r="H6" i="9"/>
  <c r="G6" i="9"/>
  <c r="J6" i="9"/>
  <c r="J9" i="23" s="1"/>
  <c r="K21" i="9"/>
  <c r="I21" i="9"/>
  <c r="H21" i="9"/>
  <c r="G21" i="9"/>
  <c r="G20" i="9" s="1"/>
  <c r="G17" i="7" s="1"/>
  <c r="J21" i="9"/>
  <c r="E4" i="20"/>
  <c r="E6" i="5"/>
  <c r="E9" i="5" s="1"/>
  <c r="E12" i="5" s="1"/>
  <c r="K39" i="8"/>
  <c r="K17" i="5" s="1"/>
  <c r="K25" i="6" s="1"/>
  <c r="J17" i="5"/>
  <c r="J25" i="6" s="1"/>
  <c r="K15" i="8"/>
  <c r="K5" i="5" s="1"/>
  <c r="J5" i="5"/>
  <c r="F6" i="2"/>
  <c r="F14" i="2" s="1"/>
  <c r="F18" i="2" s="1"/>
  <c r="F23" i="2" s="1"/>
  <c r="E6" i="2"/>
  <c r="E14" i="2" s="1"/>
  <c r="E18" i="2" s="1"/>
  <c r="E23" i="2" s="1"/>
  <c r="D6" i="2"/>
  <c r="D14" i="2" s="1"/>
  <c r="D18" i="2" s="1"/>
  <c r="D23" i="2" s="1"/>
  <c r="I20" i="9" l="1"/>
  <c r="I17" i="7" s="1"/>
  <c r="G8" i="5"/>
  <c r="C5" i="22" s="1"/>
  <c r="M3" i="22" s="1"/>
  <c r="G11" i="9"/>
  <c r="G16" i="7" s="1"/>
  <c r="G8" i="9"/>
  <c r="G8" i="7" s="1"/>
  <c r="C5" i="20"/>
  <c r="C6" i="20" s="1"/>
  <c r="C15" i="5"/>
  <c r="C19" i="5" s="1"/>
  <c r="H9" i="23"/>
  <c r="H5" i="9"/>
  <c r="H9" i="7" s="1"/>
  <c r="I5" i="9"/>
  <c r="I9" i="7" s="1"/>
  <c r="I5" i="23" s="1"/>
  <c r="F27" i="2"/>
  <c r="E52" i="8"/>
  <c r="H20" i="9"/>
  <c r="H17" i="7" s="1"/>
  <c r="H16" i="6" s="1"/>
  <c r="D27" i="2"/>
  <c r="C52" i="8"/>
  <c r="C4" i="22"/>
  <c r="L3" i="22" s="1"/>
  <c r="G4" i="20"/>
  <c r="G6" i="5"/>
  <c r="D15" i="5"/>
  <c r="D5" i="20"/>
  <c r="D6" i="20" s="1"/>
  <c r="H4" i="5"/>
  <c r="H45" i="8"/>
  <c r="H18" i="5" s="1"/>
  <c r="H21" i="6" s="1"/>
  <c r="H27" i="8"/>
  <c r="H11" i="5" s="1"/>
  <c r="H21" i="8"/>
  <c r="I9" i="8"/>
  <c r="H33" i="8"/>
  <c r="H14" i="5" s="1"/>
  <c r="H9" i="6" s="1"/>
  <c r="E27" i="2"/>
  <c r="D52" i="8"/>
  <c r="E15" i="5"/>
  <c r="C3" i="22"/>
  <c r="K2" i="22" s="1"/>
  <c r="L2" i="22" s="1"/>
  <c r="E5" i="20"/>
  <c r="E6" i="20" s="1"/>
  <c r="G9" i="23"/>
  <c r="G5" i="9"/>
  <c r="G9" i="7" s="1"/>
  <c r="G18" i="6"/>
  <c r="G16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5" i="7" s="1"/>
  <c r="E19" i="5" l="1"/>
  <c r="E4" i="6"/>
  <c r="G4" i="23"/>
  <c r="G12" i="6"/>
  <c r="G14" i="6"/>
  <c r="G6" i="23"/>
  <c r="E23" i="7"/>
  <c r="E25" i="7" s="1"/>
  <c r="I21" i="8"/>
  <c r="J9" i="8"/>
  <c r="I27" i="8"/>
  <c r="I11" i="5" s="1"/>
  <c r="I33" i="8"/>
  <c r="I14" i="5" s="1"/>
  <c r="I9" i="6" s="1"/>
  <c r="I45" i="8"/>
  <c r="I18" i="5" s="1"/>
  <c r="I21" i="6" s="1"/>
  <c r="I14" i="9"/>
  <c r="I5" i="7" s="1"/>
  <c r="I18" i="6" s="1"/>
  <c r="I4" i="5"/>
  <c r="I17" i="9"/>
  <c r="I10" i="7" s="1"/>
  <c r="I16" i="6" s="1"/>
  <c r="H13" i="6"/>
  <c r="H5" i="23"/>
  <c r="H8" i="5"/>
  <c r="H11" i="9"/>
  <c r="H16" i="7" s="1"/>
  <c r="H8" i="9"/>
  <c r="H8" i="7" s="1"/>
  <c r="H4" i="20"/>
  <c r="H6" i="5"/>
  <c r="H9" i="5" s="1"/>
  <c r="H12" i="5" s="1"/>
  <c r="H15" i="5" s="1"/>
  <c r="D19" i="5"/>
  <c r="D4" i="6"/>
  <c r="D23" i="7"/>
  <c r="D25" i="7" s="1"/>
  <c r="C24" i="5"/>
  <c r="C21" i="5"/>
  <c r="G9" i="5"/>
  <c r="G12" i="5" s="1"/>
  <c r="G5" i="23"/>
  <c r="G13" i="6"/>
  <c r="I13" i="6"/>
  <c r="M2" i="22"/>
  <c r="N2" i="22" s="1"/>
  <c r="O3" i="22" s="1"/>
  <c r="H18" i="6"/>
  <c r="H5" i="20"/>
  <c r="H6" i="20" s="1"/>
  <c r="D19" i="3"/>
  <c r="F19" i="3"/>
  <c r="L19" i="3"/>
  <c r="J19" i="3"/>
  <c r="K19" i="3"/>
  <c r="E19" i="3"/>
  <c r="I6" i="5" l="1"/>
  <c r="I4" i="20"/>
  <c r="H14" i="6"/>
  <c r="H6" i="23"/>
  <c r="G7" i="23"/>
  <c r="D24" i="5"/>
  <c r="D28" i="6" s="1"/>
  <c r="D21" i="5"/>
  <c r="D6" i="6" s="1"/>
  <c r="D5" i="6" s="1"/>
  <c r="D26" i="6" s="1"/>
  <c r="G15" i="5"/>
  <c r="G5" i="20"/>
  <c r="G6" i="20" s="1"/>
  <c r="G15" i="6"/>
  <c r="J14" i="9"/>
  <c r="J5" i="7" s="1"/>
  <c r="K9" i="8"/>
  <c r="J5" i="9"/>
  <c r="J9" i="7" s="1"/>
  <c r="J33" i="8"/>
  <c r="J14" i="5" s="1"/>
  <c r="J9" i="6" s="1"/>
  <c r="J4" i="5"/>
  <c r="J21" i="8"/>
  <c r="J45" i="8"/>
  <c r="J18" i="5" s="1"/>
  <c r="J21" i="6" s="1"/>
  <c r="J27" i="8"/>
  <c r="J11" i="5" s="1"/>
  <c r="J20" i="9"/>
  <c r="J17" i="7" s="1"/>
  <c r="J17" i="9"/>
  <c r="J10" i="7" s="1"/>
  <c r="J16" i="6" s="1"/>
  <c r="H4" i="23"/>
  <c r="H7" i="23" s="1"/>
  <c r="H12" i="6"/>
  <c r="H15" i="6" s="1"/>
  <c r="D7" i="6"/>
  <c r="D10" i="6" s="1"/>
  <c r="D23" i="6" s="1"/>
  <c r="I11" i="9"/>
  <c r="I16" i="7" s="1"/>
  <c r="I8" i="5"/>
  <c r="I8" i="9"/>
  <c r="I8" i="7" s="1"/>
  <c r="E24" i="5"/>
  <c r="E28" i="6" s="1"/>
  <c r="E21" i="5"/>
  <c r="E6" i="6" s="1"/>
  <c r="E5" i="6" s="1"/>
  <c r="H19" i="5"/>
  <c r="H4" i="6"/>
  <c r="L22" i="3"/>
  <c r="K22" i="3"/>
  <c r="J22" i="3"/>
  <c r="D8" i="11" l="1"/>
  <c r="D29" i="6"/>
  <c r="D32" i="6" s="1"/>
  <c r="D35" i="6" s="1"/>
  <c r="J4" i="20"/>
  <c r="J6" i="5"/>
  <c r="K14" i="9"/>
  <c r="K5" i="7" s="1"/>
  <c r="K33" i="8"/>
  <c r="K14" i="5" s="1"/>
  <c r="K9" i="6" s="1"/>
  <c r="K17" i="9"/>
  <c r="K10" i="7" s="1"/>
  <c r="K16" i="6" s="1"/>
  <c r="K27" i="8"/>
  <c r="K11" i="5" s="1"/>
  <c r="K20" i="9"/>
  <c r="K17" i="7" s="1"/>
  <c r="K5" i="9"/>
  <c r="K9" i="7" s="1"/>
  <c r="K4" i="5"/>
  <c r="K21" i="8"/>
  <c r="K45" i="8"/>
  <c r="K18" i="5" s="1"/>
  <c r="K21" i="6" s="1"/>
  <c r="J18" i="6"/>
  <c r="J8" i="5"/>
  <c r="J11" i="9"/>
  <c r="J16" i="7" s="1"/>
  <c r="J8" i="9"/>
  <c r="J8" i="7" s="1"/>
  <c r="E7" i="6"/>
  <c r="E10" i="6" s="1"/>
  <c r="E23" i="6" s="1"/>
  <c r="E8" i="11" s="1"/>
  <c r="E26" i="6"/>
  <c r="E29" i="6" s="1"/>
  <c r="E32" i="6" s="1"/>
  <c r="E35" i="6" s="1"/>
  <c r="I4" i="23"/>
  <c r="I12" i="6"/>
  <c r="I14" i="6"/>
  <c r="I6" i="23"/>
  <c r="G4" i="6"/>
  <c r="G5" i="6" s="1"/>
  <c r="G7" i="6" s="1"/>
  <c r="G10" i="6" s="1"/>
  <c r="G23" i="6" s="1"/>
  <c r="G8" i="11" s="1"/>
  <c r="G19" i="5"/>
  <c r="G22" i="5" s="1"/>
  <c r="J5" i="23"/>
  <c r="J13" i="6"/>
  <c r="I9" i="5"/>
  <c r="I12" i="5" s="1"/>
  <c r="H22" i="5"/>
  <c r="H24" i="5" s="1"/>
  <c r="G24" i="5"/>
  <c r="G21" i="7" s="1"/>
  <c r="H5" i="6"/>
  <c r="K18" i="6" l="1"/>
  <c r="I15" i="5"/>
  <c r="I5" i="20"/>
  <c r="I6" i="20" s="1"/>
  <c r="K6" i="5"/>
  <c r="K4" i="20"/>
  <c r="I15" i="6"/>
  <c r="I7" i="23"/>
  <c r="K11" i="9"/>
  <c r="K16" i="7" s="1"/>
  <c r="K8" i="9"/>
  <c r="K8" i="7" s="1"/>
  <c r="K8" i="5"/>
  <c r="K5" i="23"/>
  <c r="K13" i="6"/>
  <c r="J6" i="23"/>
  <c r="J14" i="6"/>
  <c r="J9" i="5"/>
  <c r="J12" i="5" s="1"/>
  <c r="G26" i="6"/>
  <c r="J4" i="23"/>
  <c r="J12" i="6"/>
  <c r="H26" i="6"/>
  <c r="H7" i="6"/>
  <c r="H10" i="6" s="1"/>
  <c r="H23" i="6" s="1"/>
  <c r="C4" i="21"/>
  <c r="G11" i="11"/>
  <c r="C5" i="21" s="1"/>
  <c r="G28" i="6"/>
  <c r="H21" i="7"/>
  <c r="G23" i="7"/>
  <c r="J15" i="5" l="1"/>
  <c r="J5" i="20"/>
  <c r="J6" i="20" s="1"/>
  <c r="G29" i="6"/>
  <c r="I19" i="5"/>
  <c r="I22" i="5" s="1"/>
  <c r="I24" i="5" s="1"/>
  <c r="I21" i="7" s="1"/>
  <c r="I4" i="6"/>
  <c r="K14" i="6"/>
  <c r="K6" i="23"/>
  <c r="K9" i="5"/>
  <c r="K12" i="5" s="1"/>
  <c r="J15" i="6"/>
  <c r="J7" i="23"/>
  <c r="K4" i="23"/>
  <c r="K12" i="6"/>
  <c r="G32" i="6"/>
  <c r="G12" i="7"/>
  <c r="H28" i="6"/>
  <c r="H29" i="6" s="1"/>
  <c r="H23" i="7"/>
  <c r="H8" i="11"/>
  <c r="I5" i="6" l="1"/>
  <c r="I26" i="6" s="1"/>
  <c r="I7" i="6"/>
  <c r="I10" i="6" s="1"/>
  <c r="I23" i="6" s="1"/>
  <c r="I8" i="11" s="1"/>
  <c r="K5" i="20"/>
  <c r="K6" i="20" s="1"/>
  <c r="K15" i="5"/>
  <c r="K7" i="23"/>
  <c r="K15" i="6"/>
  <c r="J19" i="5"/>
  <c r="J22" i="5" s="1"/>
  <c r="J4" i="6"/>
  <c r="J5" i="6" s="1"/>
  <c r="J7" i="6" s="1"/>
  <c r="J10" i="6" s="1"/>
  <c r="J23" i="6" s="1"/>
  <c r="J8" i="11" s="1"/>
  <c r="F4" i="21" s="1"/>
  <c r="I28" i="6"/>
  <c r="I29" i="6" s="1"/>
  <c r="I23" i="7"/>
  <c r="E4" i="21"/>
  <c r="I11" i="11"/>
  <c r="E5" i="21" s="1"/>
  <c r="H31" i="6"/>
  <c r="H32" i="6" s="1"/>
  <c r="G34" i="6"/>
  <c r="G35" i="6" s="1"/>
  <c r="H12" i="7"/>
  <c r="G14" i="7"/>
  <c r="G25" i="7" s="1"/>
  <c r="D4" i="21"/>
  <c r="H11" i="11"/>
  <c r="D5" i="21" s="1"/>
  <c r="J11" i="11" l="1"/>
  <c r="F5" i="21" s="1"/>
  <c r="J24" i="5"/>
  <c r="J21" i="7" s="1"/>
  <c r="J26" i="6"/>
  <c r="K4" i="6"/>
  <c r="K19" i="5"/>
  <c r="K22" i="5" s="1"/>
  <c r="K24" i="5" s="1"/>
  <c r="K21" i="7"/>
  <c r="J28" i="6"/>
  <c r="J29" i="6" s="1"/>
  <c r="J23" i="7"/>
  <c r="I31" i="6"/>
  <c r="I12" i="7"/>
  <c r="H34" i="6"/>
  <c r="H35" i="6" s="1"/>
  <c r="H14" i="7"/>
  <c r="H25" i="7" s="1"/>
  <c r="I32" i="6"/>
  <c r="K5" i="6" l="1"/>
  <c r="K26" i="6" s="1"/>
  <c r="K7" i="6"/>
  <c r="K10" i="6" s="1"/>
  <c r="K23" i="6" s="1"/>
  <c r="K8" i="11" s="1"/>
  <c r="K11" i="11" s="1"/>
  <c r="J31" i="6"/>
  <c r="J32" i="6" s="1"/>
  <c r="J12" i="7"/>
  <c r="I34" i="6"/>
  <c r="I35" i="6" s="1"/>
  <c r="I14" i="7"/>
  <c r="I25" i="7" s="1"/>
  <c r="G4" i="21"/>
  <c r="C16" i="11"/>
  <c r="C17" i="11" s="1"/>
  <c r="K28" i="6"/>
  <c r="K23" i="7"/>
  <c r="K29" i="6" l="1"/>
  <c r="K12" i="7"/>
  <c r="K31" i="6"/>
  <c r="K32" i="6" s="1"/>
  <c r="J34" i="6"/>
  <c r="J35" i="6" s="1"/>
  <c r="J14" i="7"/>
  <c r="J25" i="7" s="1"/>
  <c r="C15" i="11"/>
  <c r="G5" i="21"/>
  <c r="K34" i="6" l="1"/>
  <c r="K35" i="6" s="1"/>
  <c r="K14" i="7"/>
  <c r="K25" i="7" s="1"/>
  <c r="C18" i="11"/>
  <c r="C21" i="11" l="1"/>
  <c r="G21" i="11"/>
  <c r="E17" i="11"/>
  <c r="E15" i="11"/>
</calcChain>
</file>

<file path=xl/sharedStrings.xml><?xml version="1.0" encoding="utf-8"?>
<sst xmlns="http://schemas.openxmlformats.org/spreadsheetml/2006/main" count="318" uniqueCount="176">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</sst>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1" formatCode="_(* #,##0.0_);_(* \(#,##0.0\);_(* &quot;-&quot;??_);_(@_)"/>
    <numFmt numFmtId="182" formatCode="_(* #,##0.00_);_(* \(#,##0.00\);_(* &quot;-&quot;?_);@_)"/>
    <numFmt numFmtId="183" formatCode="0.0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2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5" fontId="29" fillId="0" borderId="0" applyFont="0" applyFill="0" applyBorder="0" applyAlignment="0" applyProtection="0"/>
    <xf numFmtId="174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7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8" fontId="50" fillId="0" borderId="0"/>
    <xf numFmtId="178" fontId="12" fillId="0" borderId="0"/>
    <xf numFmtId="178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8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79" fontId="51" fillId="0" borderId="0" applyFill="0" applyBorder="0">
      <alignment horizontal="right" vertical="top"/>
    </xf>
    <xf numFmtId="180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8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6" fillId="2" borderId="0" xfId="0" applyNumberFormat="1" applyFont="1" applyFill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1" fillId="2" borderId="0" xfId="0" applyNumberFormat="1" applyFont="1" applyFill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6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6" fontId="10" fillId="2" borderId="0" xfId="0" applyNumberFormat="1" applyFont="1" applyFill="1"/>
    <xf numFmtId="167" fontId="9" fillId="2" borderId="0" xfId="0" applyNumberFormat="1" applyFont="1" applyFill="1"/>
    <xf numFmtId="168" fontId="9" fillId="2" borderId="0" xfId="0" applyNumberFormat="1" applyFont="1" applyFill="1"/>
    <xf numFmtId="0" fontId="11" fillId="2" borderId="0" xfId="165" applyFont="1" applyFill="1"/>
    <xf numFmtId="182" fontId="1" fillId="2" borderId="0" xfId="0" applyNumberFormat="1" applyFont="1" applyFill="1"/>
    <xf numFmtId="166" fontId="1" fillId="47" borderId="0" xfId="0" applyNumberFormat="1" applyFont="1" applyFill="1"/>
    <xf numFmtId="168" fontId="1" fillId="2" borderId="0" xfId="2" applyNumberFormat="1" applyFont="1" applyFill="1" applyAlignment="1">
      <alignment horizontal="right"/>
    </xf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1" fillId="2" borderId="19" xfId="0" applyNumberFormat="1" applyFont="1" applyFill="1" applyBorder="1"/>
    <xf numFmtId="168" fontId="1" fillId="3" borderId="19" xfId="0" applyNumberFormat="1" applyFont="1" applyFill="1" applyBorder="1"/>
    <xf numFmtId="166" fontId="10" fillId="4" borderId="0" xfId="0" applyNumberFormat="1" applyFont="1" applyFill="1"/>
    <xf numFmtId="168" fontId="10" fillId="4" borderId="0" xfId="0" applyNumberFormat="1" applyFont="1" applyFill="1"/>
    <xf numFmtId="166" fontId="11" fillId="2" borderId="0" xfId="0" applyNumberFormat="1" applyFont="1" applyFill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64" fillId="3" borderId="20" xfId="0" applyNumberFormat="1" applyFont="1" applyFill="1" applyBorder="1"/>
    <xf numFmtId="167" fontId="6" fillId="2" borderId="0" xfId="0" applyNumberFormat="1" applyFont="1" applyFill="1"/>
    <xf numFmtId="168" fontId="11" fillId="2" borderId="19" xfId="0" applyNumberFormat="1" applyFont="1" applyFill="1" applyBorder="1"/>
    <xf numFmtId="167" fontId="43" fillId="2" borderId="0" xfId="0" applyNumberFormat="1" applyFont="1" applyFill="1"/>
    <xf numFmtId="167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7" fontId="11" fillId="2" borderId="0" xfId="0" applyNumberFormat="1" applyFont="1" applyFill="1"/>
    <xf numFmtId="167" fontId="1" fillId="3" borderId="0" xfId="0" applyNumberFormat="1" applyFont="1" applyFill="1"/>
    <xf numFmtId="167" fontId="65" fillId="2" borderId="0" xfId="0" applyNumberFormat="1" applyFont="1" applyFill="1"/>
    <xf numFmtId="166" fontId="66" fillId="2" borderId="0" xfId="0" applyNumberFormat="1" applyFont="1" applyFill="1"/>
    <xf numFmtId="167" fontId="13" fillId="2" borderId="0" xfId="0" applyNumberFormat="1" applyFont="1" applyFill="1"/>
    <xf numFmtId="181" fontId="9" fillId="2" borderId="0" xfId="3" applyNumberFormat="1" applyFont="1" applyFill="1"/>
    <xf numFmtId="166" fontId="6" fillId="3" borderId="19" xfId="0" applyNumberFormat="1" applyFont="1" applyFill="1" applyBorder="1"/>
    <xf numFmtId="166" fontId="6" fillId="3" borderId="0" xfId="0" applyNumberFormat="1" applyFont="1" applyFill="1"/>
    <xf numFmtId="167" fontId="6" fillId="3" borderId="0" xfId="0" applyNumberFormat="1" applyFont="1" applyFill="1"/>
    <xf numFmtId="169" fontId="67" fillId="4" borderId="0" xfId="2" applyNumberFormat="1" applyFont="1" applyFill="1"/>
    <xf numFmtId="43" fontId="1" fillId="3" borderId="0" xfId="3" applyFont="1" applyFill="1" applyBorder="1"/>
    <xf numFmtId="168" fontId="6" fillId="3" borderId="19" xfId="0" applyNumberFormat="1" applyFont="1" applyFill="1" applyBorder="1"/>
    <xf numFmtId="166" fontId="64" fillId="2" borderId="19" xfId="0" applyNumberFormat="1" applyFont="1" applyFill="1" applyBorder="1"/>
    <xf numFmtId="168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70" fontId="1" fillId="2" borderId="0" xfId="3" applyNumberFormat="1" applyFont="1" applyFill="1"/>
    <xf numFmtId="170" fontId="1" fillId="3" borderId="0" xfId="3" applyNumberFormat="1" applyFont="1" applyFill="1"/>
    <xf numFmtId="169" fontId="1" fillId="3" borderId="0" xfId="2" applyNumberFormat="1" applyFont="1" applyFill="1"/>
    <xf numFmtId="183" fontId="65" fillId="2" borderId="0" xfId="0" applyNumberFormat="1" applyFont="1" applyFill="1" applyAlignment="1">
      <alignment horizontal="left"/>
    </xf>
    <xf numFmtId="183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3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70" fontId="3" fillId="2" borderId="19" xfId="3" applyNumberFormat="1" applyFont="1" applyFill="1" applyBorder="1"/>
    <xf numFmtId="170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9" fontId="1" fillId="2" borderId="0" xfId="0" applyNumberFormat="1" applyFont="1" applyFill="1"/>
    <xf numFmtId="166" fontId="67" fillId="4" borderId="0" xfId="0" applyNumberFormat="1" applyFont="1" applyFill="1" applyAlignment="1">
      <alignment horizontal="center"/>
    </xf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225035.28000000003</c:v>
                </c:pt>
                <c:pt idx="5">
                  <c:v>243038.10240000003</c:v>
                </c:pt>
                <c:pt idx="6">
                  <c:v>262481.15059200005</c:v>
                </c:pt>
                <c:pt idx="7">
                  <c:v>283479.6426393601</c:v>
                </c:pt>
                <c:pt idx="8">
                  <c:v>306158.01405050891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0.12648708771353537</c:v>
                </c:pt>
                <c:pt idx="5">
                  <c:v>0.12563619232734752</c:v>
                </c:pt>
                <c:pt idx="6">
                  <c:v>0.1248483262290255</c:v>
                </c:pt>
                <c:pt idx="7">
                  <c:v>0.12411882058243107</c:v>
                </c:pt>
                <c:pt idx="8">
                  <c:v>0.1234433523911399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13354.817763280244</c:v>
                </c:pt>
                <c:pt idx="1">
                  <c:v>9666.0812950941799</c:v>
                </c:pt>
                <c:pt idx="2">
                  <c:v>10273.927798701716</c:v>
                </c:pt>
                <c:pt idx="3">
                  <c:v>10930.402022597824</c:v>
                </c:pt>
                <c:pt idx="4">
                  <c:v>11639.394184405708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12140.743421163857</c:v>
                </c:pt>
                <c:pt idx="1">
                  <c:v>7988.496938094363</c:v>
                </c:pt>
                <c:pt idx="2">
                  <c:v>7718.9540185587621</c:v>
                </c:pt>
                <c:pt idx="3">
                  <c:v>7465.6116539838949</c:v>
                </c:pt>
                <c:pt idx="4">
                  <c:v>7227.1480365882262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28225.753599999989</c:v>
                </c:pt>
                <c:pt idx="3">
                  <c:v>28225.753599999989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16669.280000000028</c:v>
                </c:pt>
                <c:pt idx="2">
                  <c:v>18004.399974603031</c:v>
                </c:pt>
                <c:pt idx="3">
                  <c:v>238.30360000000655</c:v>
                </c:pt>
                <c:pt idx="4">
                  <c:v>28464.057199999996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58236.056987168457</c:v>
                </c:pt>
                <c:pt idx="5">
                  <c:v>62894.941546141927</c:v>
                </c:pt>
                <c:pt idx="6">
                  <c:v>67926.53686983329</c:v>
                </c:pt>
                <c:pt idx="7">
                  <c:v>73360.659819419961</c:v>
                </c:pt>
                <c:pt idx="8">
                  <c:v>79229.51260497357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A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AE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AE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New/Desktop/Courses/Video%20creating/Excel/4)%20DCF%20Valuation/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</row>
      </sheetData>
      <sheetData sheetId="13">
        <row r="3">
          <cell r="C3" t="str">
            <v>FY11
Actual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5" t="s">
        <v>5</v>
      </c>
    </row>
    <row r="4" spans="2:3" ht="14" thickBot="1">
      <c r="B4" s="4" t="s">
        <v>2</v>
      </c>
      <c r="C4" s="4" t="s">
        <v>3</v>
      </c>
    </row>
    <row r="5" spans="2:3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tabSelected="1" zoomScale="130" zoomScaleNormal="130" workbookViewId="0">
      <pane ySplit="8" topLeftCell="A33" activePane="bottomLeft" state="frozen"/>
      <selection pane="bottomLeft" activeCell="D5" sqref="D5"/>
    </sheetView>
  </sheetViews>
  <sheetFormatPr baseColWidth="10" defaultColWidth="9.1640625" defaultRowHeight="12"/>
  <cols>
    <col min="1" max="1" width="2" style="7" customWidth="1"/>
    <col min="2" max="2" width="21.83203125" style="7" bestFit="1" customWidth="1"/>
    <col min="3" max="3" width="10.5" style="7" bestFit="1" customWidth="1"/>
    <col min="4" max="5" width="9.1640625" style="7"/>
    <col min="6" max="6" width="2" style="7" customWidth="1"/>
    <col min="7" max="7" width="11" style="7" bestFit="1" customWidth="1"/>
    <col min="8" max="11" width="10.5" style="7" bestFit="1" customWidth="1"/>
    <col min="12" max="12" width="9.1640625" style="7"/>
    <col min="13" max="13" width="22.1640625" style="7" bestFit="1" customWidth="1"/>
    <col min="14" max="16384" width="9.1640625" style="7"/>
  </cols>
  <sheetData>
    <row r="1" spans="1:14" ht="16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>
      <c r="B5" s="7" t="s">
        <v>95</v>
      </c>
      <c r="C5" s="41">
        <v>2</v>
      </c>
      <c r="G5" s="7" t="s">
        <v>91</v>
      </c>
      <c r="H5" s="7" t="s">
        <v>94</v>
      </c>
    </row>
    <row r="7" spans="1:14" ht="3.75" customHeight="1"/>
    <row r="8" spans="1:14" ht="27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225035.28000000003</v>
      </c>
      <c r="H9" s="27">
        <f>G9*(1+H10)</f>
        <v>243038.10240000003</v>
      </c>
      <c r="I9" s="27">
        <f t="shared" ref="I9:K9" si="0">H9*(1+I10)</f>
        <v>262481.15059200005</v>
      </c>
      <c r="J9" s="27">
        <f t="shared" si="0"/>
        <v>283479.6426393601</v>
      </c>
      <c r="K9" s="27">
        <f t="shared" si="0"/>
        <v>306158.01405050891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0.08</v>
      </c>
      <c r="H10" s="26">
        <f t="shared" ref="H10:K10" si="1">CHOOSE($C$5,H11,H12,H13)</f>
        <v>0.08</v>
      </c>
      <c r="I10" s="26">
        <f t="shared" si="1"/>
        <v>0.08</v>
      </c>
      <c r="J10" s="26">
        <f t="shared" si="1"/>
        <v>0.08</v>
      </c>
      <c r="K10" s="26">
        <f t="shared" si="1"/>
        <v>0.08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-175527.51840000003</v>
      </c>
      <c r="H21" s="37">
        <f t="shared" ref="H21:K21" si="6">H22*H$9</f>
        <v>-189569.71987200005</v>
      </c>
      <c r="I21" s="37">
        <f t="shared" si="6"/>
        <v>-204735.29746176006</v>
      </c>
      <c r="J21" s="37">
        <f t="shared" si="6"/>
        <v>-221114.12125870088</v>
      </c>
      <c r="K21" s="37">
        <f t="shared" si="6"/>
        <v>-238803.25095939694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-0.78</v>
      </c>
      <c r="H22" s="26">
        <f t="shared" ref="H22:K22" si="8">CHOOSE($C$5,H23,H24,H25)</f>
        <v>-0.78</v>
      </c>
      <c r="I22" s="26">
        <f t="shared" si="8"/>
        <v>-0.78</v>
      </c>
      <c r="J22" s="26">
        <f t="shared" si="8"/>
        <v>-0.78</v>
      </c>
      <c r="K22" s="26">
        <f t="shared" si="8"/>
        <v>-0.78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-23628.704400000002</v>
      </c>
      <c r="H27" s="37">
        <f t="shared" si="9"/>
        <v>-25519.000752000004</v>
      </c>
      <c r="I27" s="37">
        <f t="shared" si="9"/>
        <v>-27560.520812160004</v>
      </c>
      <c r="J27" s="37">
        <f t="shared" si="9"/>
        <v>-29765.36247713281</v>
      </c>
      <c r="K27" s="37">
        <f t="shared" si="9"/>
        <v>-32146.591475303434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-0.105</v>
      </c>
      <c r="H28" s="26">
        <f t="shared" ref="H28:K28" si="11">CHOOSE($C$5,H29,H30,H31)</f>
        <v>-0.105</v>
      </c>
      <c r="I28" s="26">
        <f t="shared" si="11"/>
        <v>-0.105</v>
      </c>
      <c r="J28" s="26">
        <f t="shared" si="11"/>
        <v>-0.105</v>
      </c>
      <c r="K28" s="26">
        <f t="shared" si="11"/>
        <v>-0.105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-5625.8820000000014</v>
      </c>
      <c r="H33" s="37">
        <f t="shared" ref="H33" si="13">H34*H$9</f>
        <v>-6075.9525600000015</v>
      </c>
      <c r="I33" s="37">
        <f t="shared" ref="I33" si="14">I34*I$9</f>
        <v>-6562.0287648000012</v>
      </c>
      <c r="J33" s="37">
        <f t="shared" ref="J33" si="15">J34*J$9</f>
        <v>-7086.9910659840025</v>
      </c>
      <c r="K33" s="37">
        <f t="shared" ref="K33" si="16">K34*K$9</f>
        <v>-7653.9503512627234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-2.5000000000000001E-2</v>
      </c>
      <c r="H34" s="26">
        <f t="shared" ref="H34:K34" si="18">CHOOSE($C$5,H35,H36,H37)</f>
        <v>-2.5000000000000001E-2</v>
      </c>
      <c r="I34" s="26">
        <f t="shared" si="18"/>
        <v>-2.5000000000000001E-2</v>
      </c>
      <c r="J34" s="26">
        <f t="shared" si="18"/>
        <v>-2.5000000000000001E-2</v>
      </c>
      <c r="K34" s="26">
        <f t="shared" si="18"/>
        <v>-2.5000000000000001E-2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-0.2</v>
      </c>
      <c r="H52" s="26">
        <f t="shared" ref="H52:K52" si="26">CHOOSE($C$5,H53,H54,H55)</f>
        <v>-0.2</v>
      </c>
      <c r="I52" s="26">
        <f t="shared" si="26"/>
        <v>-0.2</v>
      </c>
      <c r="J52" s="26">
        <f t="shared" si="26"/>
        <v>-0.2</v>
      </c>
      <c r="K52" s="26">
        <f t="shared" si="26"/>
        <v>-0.2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baseColWidth="10" defaultColWidth="9.1640625" defaultRowHeight="12"/>
  <cols>
    <col min="1" max="1" width="2" style="7" customWidth="1"/>
    <col min="2" max="2" width="17.33203125" style="7" customWidth="1"/>
    <col min="3" max="4" width="9.1640625" style="7"/>
    <col min="5" max="5" width="10" style="7" bestFit="1" customWidth="1"/>
    <col min="6" max="6" width="2" style="7" customWidth="1"/>
    <col min="7" max="7" width="11" style="7" bestFit="1" customWidth="1"/>
    <col min="8" max="16384" width="9.1640625" style="7"/>
  </cols>
  <sheetData>
    <row r="1" spans="2:11" ht="16">
      <c r="B1" s="6" t="s">
        <v>24</v>
      </c>
    </row>
    <row r="3" spans="2:11" ht="3.75" customHeight="1"/>
    <row r="4" spans="2:11" ht="27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47068.128000000004</v>
      </c>
      <c r="H5" s="27">
        <f>H6*'P&amp;L assumptions'!H9/360</f>
        <v>50833.578240000003</v>
      </c>
      <c r="I5" s="27">
        <f>I6*'P&amp;L assumptions'!I9/360</f>
        <v>54900.264499199999</v>
      </c>
      <c r="J5" s="27">
        <f>J6*'P&amp;L assumptions'!J9/360</f>
        <v>59292.285659136011</v>
      </c>
      <c r="K5" s="27">
        <f>K6*'P&amp;L assumptions'!K9/360</f>
        <v>64035.66851186689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51493.887128335395</v>
      </c>
      <c r="H8" s="27">
        <f>-H9*'P&amp;L assumptions'!H$21/360</f>
        <v>55613.398098602222</v>
      </c>
      <c r="I8" s="27">
        <f>-I9*'P&amp;L assumptions'!I$21/360</f>
        <v>60062.469946490404</v>
      </c>
      <c r="J8" s="27">
        <f>-J9*'P&amp;L assumptions'!J$21/360</f>
        <v>64867.467542209641</v>
      </c>
      <c r="K8" s="27">
        <f>-K9*'P&amp;L assumptions'!K$21/360</f>
        <v>70056.864945586407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40325.958141166935</v>
      </c>
      <c r="H11" s="27">
        <f>-H12*'P&amp;L assumptions'!H$21/360</f>
        <v>43552.034792460297</v>
      </c>
      <c r="I11" s="27">
        <f>-I12*'P&amp;L assumptions'!I$21/360</f>
        <v>47036.197575857121</v>
      </c>
      <c r="J11" s="27">
        <f>-J12*'P&amp;L assumptions'!J$21/360</f>
        <v>50799.09338192569</v>
      </c>
      <c r="K11" s="27">
        <f>-K12*'P&amp;L assumptions'!K$21/360</f>
        <v>54863.020852479742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58808.963882665172</v>
      </c>
      <c r="H14" s="27">
        <f>H15*'P&amp;L assumptions'!H$9</f>
        <v>63513.680993278387</v>
      </c>
      <c r="I14" s="27">
        <f>I15*'P&amp;L assumptions'!I$9</f>
        <v>68594.775472740657</v>
      </c>
      <c r="J14" s="27">
        <f>J15*'P&amp;L assumptions'!J$9</f>
        <v>74082.35751055993</v>
      </c>
      <c r="K14" s="27">
        <f>K15*'P&amp;L assumptions'!K$9</f>
        <v>80008.946111404715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14597.199966442211</v>
      </c>
      <c r="H17" s="27">
        <f>H18*'P&amp;L assumptions'!H$9</f>
        <v>15764.975963757588</v>
      </c>
      <c r="I17" s="27">
        <f>I18*'P&amp;L assumptions'!I$9</f>
        <v>17026.174040858194</v>
      </c>
      <c r="J17" s="27">
        <f>J18*'P&amp;L assumptions'!J$9</f>
        <v>18388.267964126855</v>
      </c>
      <c r="K17" s="27">
        <f>K18*'P&amp;L assumptions'!K$9</f>
        <v>19859.329401257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7883.9448649531369</v>
      </c>
      <c r="H20" s="27">
        <f>H21*'P&amp;L assumptions'!H$9</f>
        <v>8514.6604541493871</v>
      </c>
      <c r="I20" s="27">
        <f>I21*'P&amp;L assumptions'!I$9</f>
        <v>9195.8332904813396</v>
      </c>
      <c r="J20" s="27">
        <f>J21*'P&amp;L assumptions'!J$9</f>
        <v>9931.4999537198473</v>
      </c>
      <c r="K20" s="27">
        <f>K21*'P&amp;L assumptions'!K$9</f>
        <v>10726.019950017435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baseColWidth="10" defaultColWidth="9.1640625" defaultRowHeight="12"/>
  <cols>
    <col min="1" max="1" width="2" style="7" customWidth="1"/>
    <col min="2" max="2" width="18.33203125" style="7" bestFit="1" customWidth="1"/>
    <col min="3" max="3" width="10.5" style="7" bestFit="1" customWidth="1"/>
    <col min="4" max="5" width="9.1640625" style="7"/>
    <col min="6" max="6" width="2" style="7" customWidth="1"/>
    <col min="7" max="7" width="10.5" style="7" bestFit="1" customWidth="1"/>
    <col min="8" max="11" width="9.1640625" style="7"/>
    <col min="12" max="12" width="2" style="7" customWidth="1"/>
    <col min="13" max="16384" width="9.1640625" style="7"/>
  </cols>
  <sheetData>
    <row r="1" spans="2:13" ht="16">
      <c r="B1" s="6" t="s">
        <v>6</v>
      </c>
    </row>
    <row r="3" spans="2:13" ht="27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225035.28000000003</v>
      </c>
      <c r="H4" s="27">
        <f>SUMIF('P&amp;L assumptions'!$B:$B,'P&amp;L'!$B4,'P&amp;L assumptions'!H:H)</f>
        <v>243038.10240000003</v>
      </c>
      <c r="I4" s="27">
        <f>SUMIF('P&amp;L assumptions'!$B:$B,'P&amp;L'!$B4,'P&amp;L assumptions'!I:I)</f>
        <v>262481.15059200005</v>
      </c>
      <c r="J4" s="27">
        <f>SUMIF('P&amp;L assumptions'!$B:$B,'P&amp;L'!$B4,'P&amp;L assumptions'!J:J)</f>
        <v>283479.6426393601</v>
      </c>
      <c r="K4" s="27">
        <f>SUMIF('P&amp;L assumptions'!$B:$B,'P&amp;L'!$B4,'P&amp;L assumptions'!K:K)</f>
        <v>306158.01405050891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227620.28000000003</v>
      </c>
      <c r="H6" s="53">
        <f t="shared" si="0"/>
        <v>245623.10240000003</v>
      </c>
      <c r="I6" s="53">
        <f t="shared" si="0"/>
        <v>265066.15059200005</v>
      </c>
      <c r="J6" s="53">
        <f t="shared" si="0"/>
        <v>286064.6426393601</v>
      </c>
      <c r="K6" s="53">
        <f t="shared" si="0"/>
        <v>308743.01405050891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-175527.51840000003</v>
      </c>
      <c r="H8" s="27">
        <f>SUMIF('P&amp;L assumptions'!$B:$B,'P&amp;L'!$B8,'P&amp;L assumptions'!H:H)</f>
        <v>-189569.71987200005</v>
      </c>
      <c r="I8" s="27">
        <f>SUMIF('P&amp;L assumptions'!$B:$B,'P&amp;L'!$B8,'P&amp;L assumptions'!I:I)</f>
        <v>-204735.29746176006</v>
      </c>
      <c r="J8" s="27">
        <f>SUMIF('P&amp;L assumptions'!$B:$B,'P&amp;L'!$B8,'P&amp;L assumptions'!J:J)</f>
        <v>-221114.12125870088</v>
      </c>
      <c r="K8" s="27">
        <f>SUMIF('P&amp;L assumptions'!$B:$B,'P&amp;L'!$B8,'P&amp;L assumptions'!K:K)</f>
        <v>-238803.25095939694</v>
      </c>
    </row>
    <row r="9" spans="2:13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52092.761599999998</v>
      </c>
      <c r="H9" s="53">
        <f t="shared" si="1"/>
        <v>56053.382527999987</v>
      </c>
      <c r="I9" s="53">
        <f t="shared" si="1"/>
        <v>60330.853130239993</v>
      </c>
      <c r="J9" s="53">
        <f t="shared" si="1"/>
        <v>64950.521380659222</v>
      </c>
      <c r="K9" s="53">
        <f t="shared" si="1"/>
        <v>69939.763091111963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-23628.704400000002</v>
      </c>
      <c r="H11" s="27">
        <f>SUMIF('P&amp;L assumptions'!$B:$B,'P&amp;L'!$B11,'P&amp;L assumptions'!H:H)</f>
        <v>-25519.000752000004</v>
      </c>
      <c r="I11" s="27">
        <f>SUMIF('P&amp;L assumptions'!$B:$B,'P&amp;L'!$B11,'P&amp;L assumptions'!I:I)</f>
        <v>-27560.520812160004</v>
      </c>
      <c r="J11" s="27">
        <f>SUMIF('P&amp;L assumptions'!$B:$B,'P&amp;L'!$B11,'P&amp;L assumptions'!J:J)</f>
        <v>-29765.36247713281</v>
      </c>
      <c r="K11" s="27">
        <f>SUMIF('P&amp;L assumptions'!$B:$B,'P&amp;L'!$B11,'P&amp;L assumptions'!K:K)</f>
        <v>-32146.591475303434</v>
      </c>
    </row>
    <row r="12" spans="2:13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28464.057199999996</v>
      </c>
      <c r="H12" s="53">
        <f t="shared" si="2"/>
        <v>30534.381775999984</v>
      </c>
      <c r="I12" s="53">
        <f t="shared" si="2"/>
        <v>32770.332318079993</v>
      </c>
      <c r="J12" s="53">
        <f t="shared" si="2"/>
        <v>35185.158903526411</v>
      </c>
      <c r="K12" s="53">
        <f t="shared" si="2"/>
        <v>37793.171615808533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-5625.8820000000014</v>
      </c>
      <c r="H14" s="27">
        <f>SUMIF('P&amp;L assumptions'!$B:$B,'P&amp;L'!$B14,'P&amp;L assumptions'!H:H)</f>
        <v>-6075.9525600000015</v>
      </c>
      <c r="I14" s="27">
        <f>SUMIF('P&amp;L assumptions'!$B:$B,'P&amp;L'!$B14,'P&amp;L assumptions'!I:I)</f>
        <v>-6562.0287648000012</v>
      </c>
      <c r="J14" s="27">
        <f>SUMIF('P&amp;L assumptions'!$B:$B,'P&amp;L'!$B14,'P&amp;L assumptions'!J:J)</f>
        <v>-7086.9910659840025</v>
      </c>
      <c r="K14" s="27">
        <f>SUMIF('P&amp;L assumptions'!$B:$B,'P&amp;L'!$B14,'P&amp;L assumptions'!K:K)</f>
        <v>-7653.9503512627234</v>
      </c>
    </row>
    <row r="15" spans="2:13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22838.175199999994</v>
      </c>
      <c r="H15" s="53">
        <f t="shared" si="3"/>
        <v>24458.429215999982</v>
      </c>
      <c r="I15" s="53">
        <f t="shared" si="3"/>
        <v>26208.303553279991</v>
      </c>
      <c r="J15" s="53">
        <f t="shared" si="3"/>
        <v>28098.167837542409</v>
      </c>
      <c r="K15" s="53">
        <f t="shared" si="3"/>
        <v>30139.221264545809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20174.255199999992</v>
      </c>
      <c r="H19" s="53">
        <f t="shared" si="4"/>
        <v>21794.509215999984</v>
      </c>
      <c r="I19" s="53">
        <f t="shared" si="4"/>
        <v>23544.383553279993</v>
      </c>
      <c r="J19" s="53">
        <f t="shared" si="4"/>
        <v>25434.247837542411</v>
      </c>
      <c r="K19" s="53">
        <f t="shared" si="4"/>
        <v>27475.301264545807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-0.2</v>
      </c>
      <c r="H21" s="26">
        <f>'P&amp;L assumptions'!H52</f>
        <v>-0.2</v>
      </c>
      <c r="I21" s="26">
        <f>'P&amp;L assumptions'!I52</f>
        <v>-0.2</v>
      </c>
      <c r="J21" s="26">
        <f>'P&amp;L assumptions'!J52</f>
        <v>-0.2</v>
      </c>
      <c r="K21" s="26">
        <f>'P&amp;L assumptions'!K52</f>
        <v>-0.2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-4034.8510399999986</v>
      </c>
      <c r="H22" s="27">
        <f t="shared" ref="H22:K22" si="6">H19*H21</f>
        <v>-4358.9018431999966</v>
      </c>
      <c r="I22" s="27">
        <f t="shared" si="6"/>
        <v>-4708.876710655999</v>
      </c>
      <c r="J22" s="27">
        <f t="shared" si="6"/>
        <v>-5086.8495675084823</v>
      </c>
      <c r="K22" s="27">
        <f t="shared" si="6"/>
        <v>-5495.060252909162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16139.404159999995</v>
      </c>
      <c r="H24" s="55">
        <f t="shared" si="7"/>
        <v>17435.607372799986</v>
      </c>
      <c r="I24" s="55">
        <f t="shared" si="7"/>
        <v>18835.506842623996</v>
      </c>
      <c r="J24" s="55">
        <f t="shared" si="7"/>
        <v>20347.398270033929</v>
      </c>
      <c r="K24" s="55">
        <f t="shared" si="7"/>
        <v>21980.241011636645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baseColWidth="10" defaultColWidth="9.1640625" defaultRowHeight="12"/>
  <cols>
    <col min="1" max="1" width="2" style="7" customWidth="1"/>
    <col min="2" max="2" width="22.6640625" style="7" bestFit="1" customWidth="1"/>
    <col min="3" max="3" width="9.1640625" style="7"/>
    <col min="4" max="4" width="9.5" style="7" bestFit="1" customWidth="1"/>
    <col min="5" max="5" width="9.1640625" style="7"/>
    <col min="6" max="6" width="2" style="7" customWidth="1"/>
    <col min="7" max="11" width="9.1640625" style="7"/>
    <col min="12" max="12" width="2" style="7" customWidth="1"/>
    <col min="13" max="16384" width="9.1640625" style="7"/>
  </cols>
  <sheetData>
    <row r="1" spans="2:13" ht="16">
      <c r="B1" s="6" t="s">
        <v>53</v>
      </c>
    </row>
    <row r="3" spans="2:13" ht="27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58808.963882665172</v>
      </c>
      <c r="H5" s="27">
        <f>SUMIF('BS assumptions'!$B:$B,BS!$B5,'BS assumptions'!H:H)</f>
        <v>63513.680993278387</v>
      </c>
      <c r="I5" s="27">
        <f>SUMIF('BS assumptions'!$B:$B,BS!$B5,'BS assumptions'!I:I)</f>
        <v>68594.775472740657</v>
      </c>
      <c r="J5" s="27">
        <f>SUMIF('BS assumptions'!$B:$B,BS!$B5,'BS assumptions'!J:J)</f>
        <v>74082.35751055993</v>
      </c>
      <c r="K5" s="27">
        <f>SUMIF('BS assumptions'!$B:$B,BS!$B5,'BS assumptions'!K:K)</f>
        <v>80008.946111404715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51493.887128335395</v>
      </c>
      <c r="H8" s="27">
        <f>SUMIF('BS assumptions'!$B:$B,BS!$B8,'BS assumptions'!H:H)</f>
        <v>55613.398098602222</v>
      </c>
      <c r="I8" s="27">
        <f>SUMIF('BS assumptions'!$B:$B,BS!$B8,'BS assumptions'!I:I)</f>
        <v>60062.469946490404</v>
      </c>
      <c r="J8" s="27">
        <f>SUMIF('BS assumptions'!$B:$B,BS!$B8,'BS assumptions'!J:J)</f>
        <v>64867.467542209641</v>
      </c>
      <c r="K8" s="27">
        <f>SUMIF('BS assumptions'!$B:$B,BS!$B8,'BS assumptions'!K:K)</f>
        <v>70056.864945586407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47068.128000000004</v>
      </c>
      <c r="H9" s="27">
        <f>SUMIF('BS assumptions'!$B:$B,BS!$B9,'BS assumptions'!H:H)</f>
        <v>50833.578240000003</v>
      </c>
      <c r="I9" s="27">
        <f>SUMIF('BS assumptions'!$B:$B,BS!$B9,'BS assumptions'!I:I)</f>
        <v>54900.264499199999</v>
      </c>
      <c r="J9" s="27">
        <f>SUMIF('BS assumptions'!$B:$B,BS!$B9,'BS assumptions'!J:J)</f>
        <v>59292.285659136011</v>
      </c>
      <c r="K9" s="27">
        <f>SUMIF('BS assumptions'!$B:$B,BS!$B9,'BS assumptions'!K:K)</f>
        <v>64035.66851186689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14597.199966442211</v>
      </c>
      <c r="H10" s="27">
        <f>SUMIF('BS assumptions'!$B:$B,BS!$B10,'BS assumptions'!H:H)</f>
        <v>15764.975963757588</v>
      </c>
      <c r="I10" s="27">
        <f>SUMIF('BS assumptions'!$B:$B,BS!$B10,'BS assumptions'!I:I)</f>
        <v>17026.174040858194</v>
      </c>
      <c r="J10" s="27">
        <f>SUMIF('BS assumptions'!$B:$B,BS!$B10,'BS assumptions'!J:J)</f>
        <v>18388.267964126855</v>
      </c>
      <c r="K10" s="27">
        <f>SUMIF('BS assumptions'!$B:$B,BS!$B10,'BS assumptions'!K:K)</f>
        <v>19859.329401257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19397.281763280247</v>
      </c>
      <c r="H12" s="27">
        <f>G12+'Cash Flow'!H29</f>
        <v>26932.227058374425</v>
      </c>
      <c r="I12" s="27">
        <f>H12+'Cash Flow'!I29</f>
        <v>35075.018857076138</v>
      </c>
      <c r="J12" s="27">
        <f>I12+'Cash Flow'!J29</f>
        <v>43874.284879673964</v>
      </c>
      <c r="K12" s="27">
        <f>J12+'Cash Flow'!K29</f>
        <v>53382.543064079669</v>
      </c>
    </row>
    <row r="13" spans="2:13" ht="3.75" customHeight="1">
      <c r="G13" s="27"/>
      <c r="H13" s="27"/>
      <c r="I13" s="27"/>
      <c r="J13" s="27"/>
      <c r="K13" s="27"/>
    </row>
    <row r="14" spans="2:13" ht="13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207338.46074072304</v>
      </c>
      <c r="H14" s="59">
        <f t="shared" si="2"/>
        <v>228630.86035401264</v>
      </c>
      <c r="I14" s="59">
        <f t="shared" si="2"/>
        <v>251631.7028163654</v>
      </c>
      <c r="J14" s="59">
        <f t="shared" si="2"/>
        <v>276477.66355570639</v>
      </c>
      <c r="K14" s="59">
        <f t="shared" si="2"/>
        <v>303316.35203419469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40325.958141166935</v>
      </c>
      <c r="H16" s="27">
        <f>SUMIF('BS assumptions'!$B:$B,BS!$B16,'BS assumptions'!H:H)</f>
        <v>43552.034792460297</v>
      </c>
      <c r="I16" s="27">
        <f>SUMIF('BS assumptions'!$B:$B,BS!$B16,'BS assumptions'!I:I)</f>
        <v>47036.197575857121</v>
      </c>
      <c r="J16" s="27">
        <f>SUMIF('BS assumptions'!$B:$B,BS!$B16,'BS assumptions'!J:J)</f>
        <v>50799.09338192569</v>
      </c>
      <c r="K16" s="27">
        <f>SUMIF('BS assumptions'!$B:$B,BS!$B16,'BS assumptions'!K:K)</f>
        <v>54863.020852479742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7883.9448649531369</v>
      </c>
      <c r="H17" s="27">
        <f>SUMIF('BS assumptions'!$B:$B,BS!$B17,'BS assumptions'!H:H)</f>
        <v>8514.6604541493871</v>
      </c>
      <c r="I17" s="27">
        <f>SUMIF('BS assumptions'!$B:$B,BS!$B17,'BS assumptions'!I:I)</f>
        <v>9195.8332904813396</v>
      </c>
      <c r="J17" s="27">
        <f>SUMIF('BS assumptions'!$B:$B,BS!$B17,'BS assumptions'!J:J)</f>
        <v>9931.4999537198473</v>
      </c>
      <c r="K17" s="27">
        <f>SUMIF('BS assumptions'!$B:$B,BS!$B17,'BS assumptions'!K:K)</f>
        <v>10726.019950017435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108007.75773460299</v>
      </c>
      <c r="H21" s="27">
        <f>G21+'P&amp;L'!H24</f>
        <v>125443.36510740298</v>
      </c>
      <c r="I21" s="27">
        <f>H21+'P&amp;L'!I24</f>
        <v>144278.87195002698</v>
      </c>
      <c r="J21" s="27">
        <f>I21+'P&amp;L'!J24</f>
        <v>164626.27022006092</v>
      </c>
      <c r="K21" s="27">
        <f>J21+'P&amp;L'!K24</f>
        <v>186606.51123169757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3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207338.46074072307</v>
      </c>
      <c r="H23" s="59">
        <f t="shared" si="4"/>
        <v>228630.86035401264</v>
      </c>
      <c r="I23" s="59">
        <f t="shared" si="4"/>
        <v>251631.70281636543</v>
      </c>
      <c r="J23" s="59">
        <f t="shared" si="4"/>
        <v>276477.66355570644</v>
      </c>
      <c r="K23" s="59">
        <f t="shared" si="4"/>
        <v>303316.35203419474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zoomScale="130" zoomScaleNormal="130" workbookViewId="0">
      <selection activeCell="D25" sqref="D25"/>
    </sheetView>
  </sheetViews>
  <sheetFormatPr baseColWidth="10" defaultColWidth="9.1640625" defaultRowHeight="12"/>
  <cols>
    <col min="1" max="1" width="2" style="11" customWidth="1"/>
    <col min="2" max="2" width="31.5" style="11" bestFit="1" customWidth="1"/>
    <col min="3" max="3" width="9.1640625" style="11" customWidth="1"/>
    <col min="4" max="4" width="9.5" style="11" bestFit="1" customWidth="1"/>
    <col min="5" max="5" width="9.1640625" style="11"/>
    <col min="6" max="6" width="2" style="11" customWidth="1"/>
    <col min="7" max="11" width="9.1640625" style="11"/>
    <col min="12" max="12" width="2" style="11" customWidth="1"/>
    <col min="13" max="15" width="9.1640625" style="11"/>
    <col min="16" max="16" width="12.83203125" style="11" bestFit="1" customWidth="1"/>
    <col min="17" max="16384" width="9.1640625" style="11"/>
  </cols>
  <sheetData>
    <row r="1" spans="2:13" ht="16">
      <c r="B1" s="12" t="s">
        <v>25</v>
      </c>
      <c r="C1" s="12"/>
    </row>
    <row r="3" spans="2:13" ht="27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3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67">
        <f>'P&amp;L'!G15</f>
        <v>22838.175199999994</v>
      </c>
      <c r="H4" s="67">
        <f>'P&amp;L'!H15</f>
        <v>24458.429215999982</v>
      </c>
      <c r="I4" s="67">
        <f>'P&amp;L'!I15</f>
        <v>26208.303553279991</v>
      </c>
      <c r="J4" s="67">
        <f>'P&amp;L'!J15</f>
        <v>28098.167837542409</v>
      </c>
      <c r="K4" s="67">
        <f>'P&amp;L'!K15</f>
        <v>30139.221264545809</v>
      </c>
    </row>
    <row r="5" spans="2:13">
      <c r="B5" s="11" t="s">
        <v>123</v>
      </c>
      <c r="D5" s="11">
        <f>D6*D4</f>
        <v>-3740.0277204742097</v>
      </c>
      <c r="E5" s="11">
        <f>E6*E4</f>
        <v>-4379.9683364332095</v>
      </c>
      <c r="F5" s="31"/>
      <c r="G5" s="67">
        <f>G6*G4</f>
        <v>-4567.6350399999992</v>
      </c>
      <c r="H5" s="67">
        <f>H6*H4</f>
        <v>-4891.6858431999963</v>
      </c>
      <c r="I5" s="67">
        <f t="shared" ref="I5:K5" si="0">I6*I4</f>
        <v>-5241.6607106559986</v>
      </c>
      <c r="J5" s="67">
        <f t="shared" si="0"/>
        <v>-5619.633567508482</v>
      </c>
      <c r="K5" s="67">
        <f t="shared" si="0"/>
        <v>-6027.8442529091626</v>
      </c>
    </row>
    <row r="6" spans="2:13">
      <c r="B6" s="11" t="s">
        <v>124</v>
      </c>
      <c r="D6" s="64">
        <f>'P&amp;L'!D21</f>
        <v>-0.22579069143565386</v>
      </c>
      <c r="E6" s="64">
        <f>'P&amp;L'!E21</f>
        <v>-0.18936134430001206</v>
      </c>
      <c r="F6" s="64"/>
      <c r="G6" s="65">
        <f>'P&amp;L'!G21</f>
        <v>-0.2</v>
      </c>
      <c r="H6" s="65">
        <f>'P&amp;L'!H21</f>
        <v>-0.2</v>
      </c>
      <c r="I6" s="65">
        <f>'P&amp;L'!I21</f>
        <v>-0.2</v>
      </c>
      <c r="J6" s="65">
        <f>'P&amp;L'!J21</f>
        <v>-0.2</v>
      </c>
      <c r="K6" s="65">
        <f>'P&amp;L'!K21</f>
        <v>-0.2</v>
      </c>
    </row>
    <row r="7" spans="2:13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1"/>
      <c r="G7" s="72">
        <f>SUM(G4:G5)</f>
        <v>18270.540159999997</v>
      </c>
      <c r="H7" s="72">
        <f>SUM(H4:H5)</f>
        <v>19566.743372799985</v>
      </c>
      <c r="I7" s="72">
        <f t="shared" ref="I7:K7" si="1">SUM(I4:I5)</f>
        <v>20966.642842623995</v>
      </c>
      <c r="J7" s="72">
        <f t="shared" si="1"/>
        <v>22478.534270033928</v>
      </c>
      <c r="K7" s="72">
        <f t="shared" si="1"/>
        <v>24111.377011636647</v>
      </c>
    </row>
    <row r="8" spans="2:13" ht="3.75" customHeight="1">
      <c r="B8" s="23"/>
      <c r="C8" s="23"/>
      <c r="D8" s="23"/>
      <c r="E8" s="23"/>
      <c r="G8" s="73"/>
      <c r="H8" s="73"/>
      <c r="I8" s="73"/>
      <c r="J8" s="73"/>
      <c r="K8" s="73"/>
    </row>
    <row r="9" spans="2:13">
      <c r="B9" s="11" t="s">
        <v>126</v>
      </c>
      <c r="D9" s="11">
        <f>-'P&amp;L'!D14</f>
        <v>4649.8</v>
      </c>
      <c r="E9" s="11">
        <f>-'P&amp;L'!E14</f>
        <v>6430.6600000000008</v>
      </c>
      <c r="G9" s="67">
        <f>-'P&amp;L'!G14</f>
        <v>5625.8820000000014</v>
      </c>
      <c r="H9" s="67">
        <f>-'P&amp;L'!H14</f>
        <v>6075.9525600000015</v>
      </c>
      <c r="I9" s="67">
        <f>-'P&amp;L'!I14</f>
        <v>6562.0287648000012</v>
      </c>
      <c r="J9" s="67">
        <f>-'P&amp;L'!J14</f>
        <v>7086.9910659840025</v>
      </c>
      <c r="K9" s="67">
        <f>-'P&amp;L'!K14</f>
        <v>7653.9503512627234</v>
      </c>
    </row>
    <row r="10" spans="2:13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3"/>
      <c r="G10" s="72">
        <f>SUM(G7:G9)</f>
        <v>23896.422159999998</v>
      </c>
      <c r="H10" s="72">
        <f>SUM(H7:H9)</f>
        <v>25642.695932799987</v>
      </c>
      <c r="I10" s="72">
        <f t="shared" ref="I10:K10" si="2">SUM(I7:I9)</f>
        <v>27528.671607423996</v>
      </c>
      <c r="J10" s="72">
        <f t="shared" si="2"/>
        <v>29565.52533601793</v>
      </c>
      <c r="K10" s="72">
        <f t="shared" si="2"/>
        <v>31765.32736289937</v>
      </c>
      <c r="M10" s="11" t="s">
        <v>140</v>
      </c>
    </row>
    <row r="11" spans="2:13" ht="3.75" customHeight="1">
      <c r="F11" s="29"/>
      <c r="G11" s="67"/>
      <c r="H11" s="67"/>
      <c r="I11" s="67"/>
      <c r="J11" s="67"/>
      <c r="K11" s="67"/>
    </row>
    <row r="12" spans="2:13">
      <c r="B12" s="11" t="s">
        <v>29</v>
      </c>
      <c r="D12" s="11">
        <f>-(BS!D8-BS!C8)</f>
        <v>-5229.6000000000022</v>
      </c>
      <c r="E12" s="11">
        <f>-(BS!E8-BS!D8)</f>
        <v>-9815.1999999999971</v>
      </c>
      <c r="F12" s="66"/>
      <c r="G12" s="67">
        <f>-(BS!G8-BS!E8)</f>
        <v>-5281.8871283353947</v>
      </c>
      <c r="H12" s="67">
        <f>-(BS!H8-BS!G8)</f>
        <v>-4119.5109702668269</v>
      </c>
      <c r="I12" s="67">
        <f>-(BS!I8-BS!H8)</f>
        <v>-4449.0718478881827</v>
      </c>
      <c r="J12" s="67">
        <f>-(BS!J8-BS!I8)</f>
        <v>-4804.9975957192364</v>
      </c>
      <c r="K12" s="67">
        <f>-(BS!K8-BS!J8)</f>
        <v>-5189.3974033767663</v>
      </c>
    </row>
    <row r="13" spans="2:13">
      <c r="B13" s="11" t="s">
        <v>27</v>
      </c>
      <c r="D13" s="11">
        <f>-(BS!D9-BS!C9)</f>
        <v>-5672.4000000000015</v>
      </c>
      <c r="E13" s="11">
        <f>-(BS!E9-BS!D9)</f>
        <v>-5025.5999999999985</v>
      </c>
      <c r="F13" s="66"/>
      <c r="G13" s="67">
        <f>-(BS!G9-BS!E9)</f>
        <v>-3486.5280000000057</v>
      </c>
      <c r="H13" s="67">
        <f>-(BS!H9-BS!G9)</f>
        <v>-3765.4502399999983</v>
      </c>
      <c r="I13" s="67">
        <f>-(BS!I9-BS!H9)</f>
        <v>-4066.6862591999961</v>
      </c>
      <c r="J13" s="67">
        <f>-(BS!J9-BS!I9)</f>
        <v>-4392.0211599360118</v>
      </c>
      <c r="K13" s="67">
        <f>-(BS!K9-BS!J9)</f>
        <v>-4743.3828527308797</v>
      </c>
    </row>
    <row r="14" spans="2:13">
      <c r="B14" s="11" t="s">
        <v>128</v>
      </c>
      <c r="D14" s="11">
        <f>BS!D16-BS!C16</f>
        <v>10460.399999999998</v>
      </c>
      <c r="E14" s="11">
        <f>BS!E16-BS!D16</f>
        <v>9838</v>
      </c>
      <c r="G14" s="67">
        <f>BS!G16-BS!E16</f>
        <v>4136.3581411669365</v>
      </c>
      <c r="H14" s="67">
        <f>BS!H16-BS!G16</f>
        <v>3226.0766512933624</v>
      </c>
      <c r="I14" s="67">
        <f>BS!I16-BS!H16</f>
        <v>3484.1627833968232</v>
      </c>
      <c r="J14" s="67">
        <f>BS!J16-BS!I16</f>
        <v>3762.8958060685691</v>
      </c>
      <c r="K14" s="67">
        <f>BS!K16-BS!J16</f>
        <v>4063.927470554052</v>
      </c>
    </row>
    <row r="15" spans="2:13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3"/>
      <c r="G15" s="72">
        <f>SUM(G12:G14)</f>
        <v>-4632.0569871684638</v>
      </c>
      <c r="H15" s="72">
        <f>SUM(H12:H14)</f>
        <v>-4658.8845589734628</v>
      </c>
      <c r="I15" s="72">
        <f t="shared" ref="I15:K15" si="3">SUM(I12:I14)</f>
        <v>-5031.5953236913556</v>
      </c>
      <c r="J15" s="72">
        <f t="shared" si="3"/>
        <v>-5434.1229495866792</v>
      </c>
      <c r="K15" s="72">
        <f t="shared" si="3"/>
        <v>-5868.852785553594</v>
      </c>
      <c r="M15" s="11" t="s">
        <v>141</v>
      </c>
    </row>
    <row r="16" spans="2:13">
      <c r="B16" s="60" t="s">
        <v>130</v>
      </c>
      <c r="C16" s="60"/>
      <c r="D16" s="60">
        <f>-(BS!D10-BS!C10)+BS!D17-BS!C17</f>
        <v>-2686.2826666666824</v>
      </c>
      <c r="E16" s="60">
        <f>-(BS!E10-BS!D10)+BS!E17-BS!D17</f>
        <v>-3570.5095746029638</v>
      </c>
      <c r="G16" s="74">
        <f>-(BS!G10-BS!E10)+BS!G17-BS!E17</f>
        <v>2416.0984731138833</v>
      </c>
      <c r="H16" s="74">
        <f>-(BS!H10-BS!G10)+BS!H17-BS!G17</f>
        <v>-537.06040811912681</v>
      </c>
      <c r="I16" s="74">
        <f>-(BS!I10-BS!H10)+BS!I17-BS!H17</f>
        <v>-580.02524076865302</v>
      </c>
      <c r="J16" s="74">
        <f>-(BS!J10-BS!I10)+BS!J17-BS!I17</f>
        <v>-626.42726003015378</v>
      </c>
      <c r="K16" s="74">
        <f>-(BS!K10-BS!J10)+BS!K17-BS!J17</f>
        <v>-676.54144083255778</v>
      </c>
      <c r="M16" s="11" t="s">
        <v>142</v>
      </c>
    </row>
    <row r="17" spans="2:13" ht="3.75" customHeight="1">
      <c r="B17" s="60"/>
      <c r="C17" s="60"/>
      <c r="D17" s="60"/>
      <c r="E17" s="60"/>
      <c r="G17" s="74"/>
      <c r="H17" s="74"/>
      <c r="I17" s="74"/>
      <c r="J17" s="74"/>
      <c r="K17" s="74"/>
    </row>
    <row r="18" spans="2:13">
      <c r="B18" s="60" t="s">
        <v>131</v>
      </c>
      <c r="C18" s="60"/>
      <c r="D18" s="60">
        <f>-(BS!D5-BS!C5)+'P&amp;L'!D14</f>
        <v>-8615.7999999999993</v>
      </c>
      <c r="E18" s="60">
        <f>-(BS!E5-BS!D5)+'P&amp;L'!E14</f>
        <v>-13467.459999999995</v>
      </c>
      <c r="G18" s="74">
        <f>-(BS!G5-BS!E5)+'P&amp;L'!G14</f>
        <v>-8325.645882665176</v>
      </c>
      <c r="H18" s="74">
        <f>-(BS!H5-BS!G5)+'P&amp;L'!H14</f>
        <v>-10780.669670613217</v>
      </c>
      <c r="I18" s="74">
        <f>-(BS!I5-BS!H5)+'P&amp;L'!I14</f>
        <v>-11643.123244262271</v>
      </c>
      <c r="J18" s="74">
        <f>-(BS!J5-BS!I5)+'P&amp;L'!J14</f>
        <v>-12574.573103803275</v>
      </c>
      <c r="K18" s="74">
        <f>-(BS!K5-BS!J5)+'P&amp;L'!K14</f>
        <v>-13580.538952107509</v>
      </c>
      <c r="M18" s="11" t="s">
        <v>143</v>
      </c>
    </row>
    <row r="19" spans="2:13">
      <c r="B19" s="60" t="s">
        <v>134</v>
      </c>
      <c r="C19" s="60"/>
      <c r="D19" s="60">
        <f>-(BS!D4-BS!C4)-(BS!D6-BS!C6)</f>
        <v>-885.39999999999964</v>
      </c>
      <c r="E19" s="60">
        <f>-(BS!E4-BS!D4)-(BS!E6-BS!D6)</f>
        <v>-302</v>
      </c>
      <c r="F19" s="43"/>
      <c r="G19" s="74">
        <f>-(BS!G4-BS!E4)-(BS!G6-BS!E6)</f>
        <v>0</v>
      </c>
      <c r="H19" s="74">
        <f>-(BS!H4-BS!G4)-(BS!H6-BS!G6)</f>
        <v>0</v>
      </c>
      <c r="I19" s="74">
        <f>-(BS!I4-BS!H4)-(BS!I6-BS!H6)</f>
        <v>0</v>
      </c>
      <c r="J19" s="74">
        <f>-(BS!J4-BS!I4)-(BS!J6-BS!I6)</f>
        <v>0</v>
      </c>
      <c r="K19" s="74">
        <f>-(BS!K4-BS!J4)-(BS!K6-BS!J6)</f>
        <v>0</v>
      </c>
      <c r="M19" s="11" t="s">
        <v>144</v>
      </c>
    </row>
    <row r="20" spans="2:13" ht="3.75" customHeight="1">
      <c r="G20" s="67"/>
      <c r="H20" s="67"/>
      <c r="I20" s="67"/>
      <c r="J20" s="67"/>
      <c r="K20" s="67"/>
    </row>
    <row r="21" spans="2:13">
      <c r="B21" s="60" t="s">
        <v>132</v>
      </c>
      <c r="C21" s="62"/>
      <c r="D21" s="60">
        <f>'P&amp;L'!D18</f>
        <v>-864.30000000000007</v>
      </c>
      <c r="E21" s="60">
        <f>'P&amp;L'!E18</f>
        <v>-320.26</v>
      </c>
      <c r="F21" s="68"/>
      <c r="G21" s="74">
        <f>'P&amp;L'!G18</f>
        <v>0</v>
      </c>
      <c r="H21" s="74">
        <f>'P&amp;L'!H18</f>
        <v>0</v>
      </c>
      <c r="I21" s="74">
        <f>'P&amp;L'!I18</f>
        <v>0</v>
      </c>
      <c r="J21" s="74">
        <f>'P&amp;L'!J18</f>
        <v>0</v>
      </c>
      <c r="K21" s="74">
        <f>'P&amp;L'!K18</f>
        <v>0</v>
      </c>
      <c r="M21" s="11" t="s">
        <v>145</v>
      </c>
    </row>
    <row r="22" spans="2:13" ht="3.75" customHeight="1">
      <c r="G22" s="67"/>
      <c r="H22" s="67"/>
      <c r="I22" s="67"/>
      <c r="J22" s="67"/>
      <c r="K22" s="67"/>
    </row>
    <row r="23" spans="2:13">
      <c r="B23" s="54" t="s">
        <v>133</v>
      </c>
      <c r="C23" s="54"/>
      <c r="D23" s="54">
        <f>SUM(D10,D15,D16,D18,D19,D21)</f>
        <v>3980.52561285912</v>
      </c>
      <c r="E23" s="54">
        <f>SUM(E10,E15,E16,E18,E19,E21)</f>
        <v>2517.8756635668306</v>
      </c>
      <c r="F23" s="54"/>
      <c r="G23" s="54">
        <f>SUM(G10,G15,G16,G18,G19,G21)</f>
        <v>13354.817763280244</v>
      </c>
      <c r="H23" s="54">
        <f>SUM(H10,H15,H16,H18,H19,H21)</f>
        <v>9666.0812950941799</v>
      </c>
      <c r="I23" s="54">
        <f t="shared" ref="I23:K23" si="4">SUM(I10,I15,I16,I18,I19,I21)</f>
        <v>10273.927798701716</v>
      </c>
      <c r="J23" s="54">
        <f t="shared" si="4"/>
        <v>10930.402022597824</v>
      </c>
      <c r="K23" s="54">
        <f t="shared" si="4"/>
        <v>11639.394184405708</v>
      </c>
      <c r="M23" s="11" t="s">
        <v>146</v>
      </c>
    </row>
    <row r="24" spans="2:13" ht="3.75" customHeight="1">
      <c r="B24" s="68"/>
      <c r="G24" s="67"/>
      <c r="H24" s="67"/>
      <c r="I24" s="67"/>
      <c r="J24" s="67"/>
      <c r="K24" s="67"/>
    </row>
    <row r="25" spans="2:13">
      <c r="B25" s="69" t="s">
        <v>135</v>
      </c>
      <c r="C25" s="43"/>
      <c r="D25" s="11">
        <f>'P&amp;L'!D17</f>
        <v>-2190.9</v>
      </c>
      <c r="E25" s="11">
        <f>'P&amp;L'!E17</f>
        <v>-2663.92</v>
      </c>
      <c r="F25" s="43"/>
      <c r="G25" s="67">
        <f>'P&amp;L'!G17</f>
        <v>-2663.92</v>
      </c>
      <c r="H25" s="67">
        <f>'P&amp;L'!H17</f>
        <v>-2663.92</v>
      </c>
      <c r="I25" s="67">
        <f>'P&amp;L'!I17</f>
        <v>-2663.92</v>
      </c>
      <c r="J25" s="67">
        <f>'P&amp;L'!J17</f>
        <v>-2663.92</v>
      </c>
      <c r="K25" s="67">
        <f>'P&amp;L'!K17</f>
        <v>-2663.92</v>
      </c>
    </row>
    <row r="26" spans="2:13">
      <c r="B26" s="69" t="s">
        <v>136</v>
      </c>
      <c r="D26" s="11">
        <f>'P&amp;L'!D22-'Cash Flow'!D5</f>
        <v>689.83572047420967</v>
      </c>
      <c r="E26" s="11">
        <f>'P&amp;L'!E22-'Cash Flow'!E5</f>
        <v>565.08833643320941</v>
      </c>
      <c r="G26" s="67">
        <f>'P&amp;L'!G22-'Cash Flow'!G5</f>
        <v>532.78400000000056</v>
      </c>
      <c r="H26" s="67">
        <f>'P&amp;L'!H22-'Cash Flow'!H5</f>
        <v>532.78399999999965</v>
      </c>
      <c r="I26" s="67">
        <f>'P&amp;L'!I22-'Cash Flow'!I5</f>
        <v>532.78399999999965</v>
      </c>
      <c r="J26" s="67">
        <f>'P&amp;L'!J22-'Cash Flow'!J5</f>
        <v>532.78399999999965</v>
      </c>
      <c r="K26" s="67">
        <f>'P&amp;L'!K22-'Cash Flow'!K5</f>
        <v>532.78400000000056</v>
      </c>
    </row>
    <row r="27" spans="2:13">
      <c r="B27" s="69" t="s">
        <v>137</v>
      </c>
      <c r="C27" s="44"/>
      <c r="D27" s="11">
        <f>BS!D19-BS!C19</f>
        <v>9352.3999999999942</v>
      </c>
      <c r="E27" s="11">
        <f>BS!E19-BS!D19</f>
        <v>475.39999999999418</v>
      </c>
      <c r="F27" s="45"/>
      <c r="G27" s="67">
        <f>BS!G19-BS!E19</f>
        <v>0</v>
      </c>
      <c r="H27" s="67">
        <f>BS!H19-BS!G19</f>
        <v>0</v>
      </c>
      <c r="I27" s="67">
        <f>BS!I19-BS!H19</f>
        <v>0</v>
      </c>
      <c r="J27" s="67">
        <f>BS!J19-BS!I19</f>
        <v>0</v>
      </c>
      <c r="K27" s="67">
        <f>BS!K19-BS!J19</f>
        <v>0</v>
      </c>
    </row>
    <row r="28" spans="2:13">
      <c r="B28" s="69" t="s">
        <v>138</v>
      </c>
      <c r="C28" s="44"/>
      <c r="D28" s="11">
        <f>BS!D21-BS!C21-'P&amp;L'!D24</f>
        <v>-4214.2613333332665</v>
      </c>
      <c r="E28" s="11">
        <f>BS!E21-BS!D21-'P&amp;L'!E24</f>
        <v>-12129.644000000022</v>
      </c>
      <c r="F28" s="45"/>
      <c r="G28" s="67">
        <f>BS!G21-BS!E21-'P&amp;L'!G24</f>
        <v>0</v>
      </c>
      <c r="H28" s="67">
        <f>BS!H21-BS!G21-'P&amp;L'!H24</f>
        <v>0</v>
      </c>
      <c r="I28" s="67">
        <f>BS!I21-BS!H21-'P&amp;L'!I24</f>
        <v>0</v>
      </c>
      <c r="J28" s="67">
        <f>BS!J21-BS!I21-'P&amp;L'!J24</f>
        <v>0</v>
      </c>
      <c r="K28" s="67">
        <f>BS!K21-BS!J21-'P&amp;L'!K24</f>
        <v>0</v>
      </c>
    </row>
    <row r="29" spans="2:13">
      <c r="B29" s="54" t="s">
        <v>139</v>
      </c>
      <c r="C29" s="54"/>
      <c r="D29" s="54">
        <f>SUM(D23:D28)</f>
        <v>7617.6000000000568</v>
      </c>
      <c r="E29" s="54">
        <f>SUM(E23:E28)</f>
        <v>-11235.199999999988</v>
      </c>
      <c r="F29" s="54"/>
      <c r="G29" s="54">
        <f>SUM(G23:G28)</f>
        <v>11223.681763280245</v>
      </c>
      <c r="H29" s="54">
        <f>SUM(H23:H28)</f>
        <v>7534.9452950941795</v>
      </c>
      <c r="I29" s="54">
        <f t="shared" ref="I29:K29" si="5">SUM(I23:I28)</f>
        <v>8142.7917987017154</v>
      </c>
      <c r="J29" s="54">
        <f t="shared" si="5"/>
        <v>8799.2660225978234</v>
      </c>
      <c r="K29" s="54">
        <f t="shared" si="5"/>
        <v>9508.2581844057095</v>
      </c>
    </row>
    <row r="30" spans="2:13" ht="3.75" customHeight="1">
      <c r="B30" s="68"/>
      <c r="G30" s="31"/>
      <c r="H30" s="31"/>
      <c r="I30" s="31"/>
      <c r="J30" s="31"/>
      <c r="K30" s="31"/>
    </row>
    <row r="31" spans="2:13">
      <c r="B31" s="70" t="s">
        <v>147</v>
      </c>
      <c r="C31" s="44"/>
      <c r="D31" s="71">
        <f>BS!C12</f>
        <v>11791.199999999999</v>
      </c>
      <c r="E31" s="71">
        <f>BS!D12</f>
        <v>19408.8</v>
      </c>
      <c r="G31" s="71">
        <f>BS!E12</f>
        <v>8173.6</v>
      </c>
      <c r="H31" s="11">
        <f>BS!G12</f>
        <v>19397.281763280247</v>
      </c>
      <c r="I31" s="11">
        <f>BS!H12</f>
        <v>26932.227058374425</v>
      </c>
      <c r="J31" s="11">
        <f>BS!I12</f>
        <v>35075.018857076138</v>
      </c>
      <c r="K31" s="11">
        <f>BS!J12</f>
        <v>43874.284879673964</v>
      </c>
    </row>
    <row r="32" spans="2:13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19397.281763280247</v>
      </c>
      <c r="H32" s="11">
        <f>H29+H31</f>
        <v>26932.227058374425</v>
      </c>
      <c r="I32" s="11">
        <f t="shared" ref="I32:K32" si="6">I29+I31</f>
        <v>35075.018857076138</v>
      </c>
      <c r="J32" s="11">
        <f t="shared" si="6"/>
        <v>43874.284879673964</v>
      </c>
      <c r="K32" s="11">
        <f t="shared" si="6"/>
        <v>53382.543064079669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19397.281763280247</v>
      </c>
      <c r="H34" s="11">
        <f>BS!H12</f>
        <v>26932.227058374425</v>
      </c>
      <c r="I34" s="11">
        <f>BS!I12</f>
        <v>35075.018857076138</v>
      </c>
      <c r="J34" s="11">
        <f>BS!J12</f>
        <v>43874.284879673964</v>
      </c>
      <c r="K34" s="11">
        <f>BS!K12</f>
        <v>53382.543064079669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opLeftCell="A3" zoomScale="130" zoomScaleNormal="130" workbookViewId="0">
      <selection activeCell="E15" sqref="E15:E17"/>
    </sheetView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/>
    <col min="5" max="5" width="11.5" style="7" bestFit="1" customWidth="1"/>
    <col min="6" max="6" width="2" style="7" customWidth="1"/>
    <col min="7" max="7" width="10" style="7" bestFit="1" customWidth="1"/>
    <col min="8" max="11" width="9.1640625" style="7"/>
    <col min="12" max="12" width="2" style="7" customWidth="1"/>
    <col min="13" max="16384" width="9.1640625" style="7"/>
  </cols>
  <sheetData>
    <row r="1" spans="2:13" ht="16">
      <c r="B1" s="6" t="s">
        <v>4</v>
      </c>
    </row>
    <row r="4" spans="2:13">
      <c r="B4" s="7" t="s">
        <v>149</v>
      </c>
      <c r="C4" s="75">
        <v>0.1</v>
      </c>
    </row>
    <row r="5" spans="2:13">
      <c r="B5" s="7" t="s">
        <v>150</v>
      </c>
      <c r="C5" s="75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7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7" t="s">
        <v>133</v>
      </c>
      <c r="D8" s="13">
        <f>'Cash Flow'!D23</f>
        <v>3980.52561285912</v>
      </c>
      <c r="E8" s="13">
        <f>'Cash Flow'!E23</f>
        <v>2517.8756635668306</v>
      </c>
      <c r="G8" s="27">
        <f>'Cash Flow'!G23</f>
        <v>13354.817763280244</v>
      </c>
      <c r="H8" s="27">
        <f>'Cash Flow'!H23</f>
        <v>9666.0812950941799</v>
      </c>
      <c r="I8" s="27">
        <f>'Cash Flow'!I23</f>
        <v>10273.927798701716</v>
      </c>
      <c r="J8" s="27">
        <f>'Cash Flow'!J23</f>
        <v>10930.402022597824</v>
      </c>
      <c r="K8" s="27">
        <f>'Cash Flow'!K23</f>
        <v>11639.394184405708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151</v>
      </c>
      <c r="G10" s="76">
        <f>1/(1+$C$4)^G6</f>
        <v>0.90909090909090906</v>
      </c>
      <c r="H10" s="76">
        <f t="shared" ref="H10:K10" si="0">1/(1+$C$4)^H6</f>
        <v>0.82644628099173545</v>
      </c>
      <c r="I10" s="76">
        <f t="shared" si="0"/>
        <v>0.75131480090157754</v>
      </c>
      <c r="J10" s="76">
        <f t="shared" si="0"/>
        <v>0.68301345536507052</v>
      </c>
      <c r="K10" s="76">
        <f t="shared" si="0"/>
        <v>0.62092132305915493</v>
      </c>
    </row>
    <row r="11" spans="2:13">
      <c r="B11" s="50" t="s">
        <v>152</v>
      </c>
      <c r="C11" s="50"/>
      <c r="D11" s="50"/>
      <c r="E11" s="50"/>
      <c r="F11" s="51"/>
      <c r="G11" s="77">
        <f>G8*G10</f>
        <v>12140.743421163857</v>
      </c>
      <c r="H11" s="77">
        <f t="shared" ref="H11:K11" si="1">H8*H10</f>
        <v>7988.496938094363</v>
      </c>
      <c r="I11" s="77">
        <f t="shared" si="1"/>
        <v>7718.9540185587621</v>
      </c>
      <c r="J11" s="77">
        <f t="shared" si="1"/>
        <v>7465.6116539838949</v>
      </c>
      <c r="K11" s="77">
        <f t="shared" si="1"/>
        <v>7227.1480365882262</v>
      </c>
    </row>
    <row r="12" spans="2:13">
      <c r="G12" s="42"/>
      <c r="H12" s="13"/>
      <c r="I12" s="13"/>
      <c r="J12" s="13"/>
      <c r="K12" s="13"/>
    </row>
    <row r="13" spans="2:13">
      <c r="G13" s="42"/>
      <c r="H13" s="13"/>
      <c r="I13" s="13"/>
      <c r="J13" s="13"/>
      <c r="K13" s="13"/>
    </row>
    <row r="14" spans="2:13">
      <c r="B14" s="98" t="s">
        <v>4</v>
      </c>
      <c r="C14" s="98"/>
      <c r="D14" s="98"/>
      <c r="E14" s="98"/>
      <c r="F14" s="98"/>
      <c r="G14" s="98"/>
      <c r="H14" s="98"/>
      <c r="I14" s="98"/>
      <c r="J14" s="98"/>
      <c r="K14" s="98"/>
    </row>
    <row r="15" spans="2:13">
      <c r="B15" s="7" t="s">
        <v>153</v>
      </c>
      <c r="C15" s="7">
        <f>SUM(G11:K11)</f>
        <v>42540.954068389103</v>
      </c>
      <c r="D15" s="7" t="s">
        <v>154</v>
      </c>
      <c r="E15" s="24">
        <f>C15/C$18</f>
        <v>0.31585026882379003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148402.27585117277</v>
      </c>
      <c r="D16" s="7" t="s">
        <v>154</v>
      </c>
      <c r="E16" s="24"/>
    </row>
    <row r="17" spans="2:11">
      <c r="B17" s="7" t="s">
        <v>156</v>
      </c>
      <c r="C17" s="7">
        <f>C16*K10</f>
        <v>92146.137466499873</v>
      </c>
      <c r="D17" s="7" t="s">
        <v>154</v>
      </c>
      <c r="E17" s="24">
        <f>C17/C$18</f>
        <v>0.68414973117620992</v>
      </c>
    </row>
    <row r="18" spans="2:11">
      <c r="B18" s="78" t="s">
        <v>157</v>
      </c>
      <c r="C18" s="78">
        <f>C17+C15</f>
        <v>134687.09153488898</v>
      </c>
      <c r="D18" s="7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>
      <c r="B21" s="78" t="s">
        <v>160</v>
      </c>
      <c r="C21" s="78">
        <f>SUM(C18:C20)</f>
        <v>91739.891534889</v>
      </c>
      <c r="D21" s="78" t="s">
        <v>154</v>
      </c>
      <c r="G21" s="79">
        <f>C18</f>
        <v>134687.09153488898</v>
      </c>
      <c r="H21" s="80">
        <v>0.09</v>
      </c>
      <c r="I21" s="80">
        <v>0.1</v>
      </c>
      <c r="J21" s="80">
        <v>0.11</v>
      </c>
      <c r="K21" s="80">
        <v>0.12</v>
      </c>
    </row>
    <row r="22" spans="2:11">
      <c r="G22" s="81">
        <v>0.01</v>
      </c>
      <c r="H22" s="13">
        <f t="dataTable" ref="H22:K25" dt2D="1" dtr="1" r1="C4" r2="C5"/>
        <v>139135.10683106619</v>
      </c>
      <c r="I22" s="13">
        <v>123645.61536787919</v>
      </c>
      <c r="J22" s="13">
        <v>111261.27230113919</v>
      </c>
      <c r="K22" s="13">
        <v>101134.7997319384</v>
      </c>
    </row>
    <row r="23" spans="2:11">
      <c r="G23" s="81">
        <v>0.02</v>
      </c>
      <c r="H23" s="13">
        <v>153859.46447706377</v>
      </c>
      <c r="I23" s="13">
        <v>134687.09153488898</v>
      </c>
      <c r="J23" s="13">
        <v>119780.41615619609</v>
      </c>
      <c r="K23" s="13">
        <v>107859.3864827292</v>
      </c>
    </row>
    <row r="24" spans="2:11">
      <c r="G24" s="81">
        <v>0.03</v>
      </c>
      <c r="H24" s="13">
        <v>173491.94133839387</v>
      </c>
      <c r="I24" s="13">
        <v>148883.27517818729</v>
      </c>
      <c r="J24" s="13">
        <v>130429.34597501726</v>
      </c>
      <c r="K24" s="13">
        <v>116078.32584480685</v>
      </c>
    </row>
    <row r="25" spans="2:11">
      <c r="G25" s="81">
        <v>0.04</v>
      </c>
      <c r="H25" s="13">
        <v>200977.40894425596</v>
      </c>
      <c r="I25" s="13">
        <v>167811.52003591834</v>
      </c>
      <c r="J25" s="13">
        <v>144120.82717064442</v>
      </c>
      <c r="K25" s="13">
        <v>126352.00004740393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workbookViewId="0">
      <selection activeCell="B1" sqref="B1"/>
    </sheetView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11" ht="16">
      <c r="B1" s="2" t="s">
        <v>54</v>
      </c>
    </row>
    <row r="3" spans="2:11" ht="27" thickBot="1">
      <c r="B3" s="17" t="str">
        <f>'P&amp;L'!B3</f>
        <v>$ in thousands</v>
      </c>
      <c r="C3" s="18" t="str">
        <f>'P&amp;L'!C3</f>
        <v>FY16
Actual</v>
      </c>
      <c r="D3" s="18" t="str">
        <f>'P&amp;L'!D3</f>
        <v>FY17
Actual</v>
      </c>
      <c r="E3" s="18" t="str">
        <f>'P&amp;L'!E3</f>
        <v>FY18
Actual</v>
      </c>
      <c r="F3" s="21"/>
      <c r="G3" s="19" t="str">
        <f>'P&amp;L'!G3</f>
        <v>FY19
Forecast</v>
      </c>
      <c r="H3" s="19" t="str">
        <f>'P&amp;L'!H3</f>
        <v>FY20
Forecast</v>
      </c>
      <c r="I3" s="19" t="str">
        <f>'P&amp;L'!I3</f>
        <v>FY21
Forecast</v>
      </c>
      <c r="J3" s="19" t="str">
        <f>'P&amp;L'!J3</f>
        <v>FY22
Forecast</v>
      </c>
      <c r="K3" s="19" t="str">
        <f>'P&amp;L'!K3</f>
        <v>FY23
Forecast</v>
      </c>
    </row>
    <row r="4" spans="2:11">
      <c r="B4" s="1" t="str">
        <f>'P&amp;L'!B4</f>
        <v>Revenues</v>
      </c>
      <c r="C4" s="82">
        <f>'P&amp;L'!C4</f>
        <v>177203</v>
      </c>
      <c r="D4" s="82">
        <f>'P&amp;L'!D4</f>
        <v>188618</v>
      </c>
      <c r="E4" s="82">
        <f>'P&amp;L'!E4</f>
        <v>208366</v>
      </c>
      <c r="F4" s="82"/>
      <c r="G4" s="83">
        <f>'P&amp;L'!G4</f>
        <v>225035.28000000003</v>
      </c>
      <c r="H4" s="83">
        <f>'P&amp;L'!H4</f>
        <v>243038.10240000003</v>
      </c>
      <c r="I4" s="83">
        <f>'P&amp;L'!I4</f>
        <v>262481.15059200005</v>
      </c>
      <c r="J4" s="83">
        <f>'P&amp;L'!J4</f>
        <v>283479.6426393601</v>
      </c>
      <c r="K4" s="83">
        <f>'P&amp;L'!K4</f>
        <v>306158.01405050891</v>
      </c>
    </row>
    <row r="5" spans="2:11">
      <c r="B5" s="1" t="s">
        <v>14</v>
      </c>
      <c r="C5" s="82">
        <f>'P&amp;L'!C12</f>
        <v>20317.317333333289</v>
      </c>
      <c r="D5" s="82">
        <f>'P&amp;L'!D12</f>
        <v>21213.936000000016</v>
      </c>
      <c r="E5" s="82">
        <f>'P&amp;L'!E12</f>
        <v>29560.873574602992</v>
      </c>
      <c r="F5" s="82"/>
      <c r="G5" s="83">
        <f>'P&amp;L'!G12</f>
        <v>28464.057199999996</v>
      </c>
      <c r="H5" s="83">
        <f>'P&amp;L'!H12</f>
        <v>30534.381775999984</v>
      </c>
      <c r="I5" s="83">
        <f>'P&amp;L'!I12</f>
        <v>32770.332318079993</v>
      </c>
      <c r="J5" s="83">
        <f>'P&amp;L'!J12</f>
        <v>35185.158903526411</v>
      </c>
      <c r="K5" s="83">
        <f>'P&amp;L'!K12</f>
        <v>37793.171615808533</v>
      </c>
    </row>
    <row r="6" spans="2:11">
      <c r="B6" s="1" t="s">
        <v>161</v>
      </c>
      <c r="C6" s="25">
        <f>C5/C4</f>
        <v>0.11465560590584409</v>
      </c>
      <c r="D6" s="25">
        <f>D5/D4</f>
        <v>0.11247036868167416</v>
      </c>
      <c r="E6" s="25">
        <f>E5/E4</f>
        <v>0.14186994795025576</v>
      </c>
      <c r="F6" s="25"/>
      <c r="G6" s="84">
        <f>G5/G4</f>
        <v>0.12648708771353537</v>
      </c>
      <c r="H6" s="84">
        <f>H5/H4</f>
        <v>0.12563619232734752</v>
      </c>
      <c r="I6" s="84">
        <f>I5/I4</f>
        <v>0.1248483262290255</v>
      </c>
      <c r="J6" s="84">
        <f>J5/J4</f>
        <v>0.12411882058243107</v>
      </c>
      <c r="K6" s="84">
        <f>K5/K4</f>
        <v>0.1234433523911399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7" ht="16">
      <c r="B1" s="2" t="s">
        <v>55</v>
      </c>
    </row>
    <row r="3" spans="2:7" ht="27" thickBot="1">
      <c r="B3" s="17" t="s">
        <v>47</v>
      </c>
      <c r="C3" s="19" t="s">
        <v>70</v>
      </c>
      <c r="D3" s="19" t="s">
        <v>71</v>
      </c>
      <c r="E3" s="19" t="s">
        <v>72</v>
      </c>
      <c r="F3" s="19" t="s">
        <v>73</v>
      </c>
      <c r="G3" s="19" t="s">
        <v>74</v>
      </c>
    </row>
    <row r="4" spans="2:7">
      <c r="B4" s="7" t="s">
        <v>133</v>
      </c>
      <c r="C4" s="27">
        <f>'DCF valuation'!G8</f>
        <v>13354.817763280244</v>
      </c>
      <c r="D4" s="27">
        <f>'DCF valuation'!H8</f>
        <v>9666.0812950941799</v>
      </c>
      <c r="E4" s="27">
        <f>'DCF valuation'!I8</f>
        <v>10273.927798701716</v>
      </c>
      <c r="F4" s="27">
        <f>'DCF valuation'!J8</f>
        <v>10930.402022597824</v>
      </c>
      <c r="G4" s="27">
        <f>'DCF valuation'!K8</f>
        <v>11639.394184405708</v>
      </c>
    </row>
    <row r="5" spans="2:7">
      <c r="B5" s="7" t="s">
        <v>152</v>
      </c>
      <c r="C5" s="27">
        <f>'DCF valuation'!G11</f>
        <v>12140.743421163857</v>
      </c>
      <c r="D5" s="27">
        <f>'DCF valuation'!H11</f>
        <v>7988.496938094363</v>
      </c>
      <c r="E5" s="27">
        <f>'DCF valuation'!I11</f>
        <v>7718.9540185587621</v>
      </c>
      <c r="F5" s="27">
        <f>'DCF valuation'!J11</f>
        <v>7465.6116539838949</v>
      </c>
      <c r="G5" s="27">
        <f>'DCF valuation'!K11</f>
        <v>7227.1480365882262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15" ht="16">
      <c r="B1" s="2" t="s">
        <v>59</v>
      </c>
    </row>
    <row r="2" spans="2:15">
      <c r="K2" s="85">
        <f>C3</f>
        <v>29560.873574602992</v>
      </c>
      <c r="L2" s="85">
        <f>K2</f>
        <v>29560.873574602992</v>
      </c>
      <c r="M2" s="86">
        <f>L2+L3+C5</f>
        <v>28225.753599999989</v>
      </c>
      <c r="N2" s="86">
        <f>M2</f>
        <v>28225.753599999989</v>
      </c>
      <c r="O2" s="87"/>
    </row>
    <row r="3" spans="2:15">
      <c r="B3" s="1" t="s">
        <v>174</v>
      </c>
      <c r="C3" s="1">
        <f>'P&amp;L'!E12</f>
        <v>29560.873574602992</v>
      </c>
      <c r="K3" s="88">
        <v>0</v>
      </c>
      <c r="L3" s="85">
        <f>C4</f>
        <v>16669.280000000028</v>
      </c>
      <c r="M3" s="86">
        <f>-C5</f>
        <v>18004.399974603031</v>
      </c>
      <c r="N3" s="86">
        <f>C6</f>
        <v>238.30360000000655</v>
      </c>
      <c r="O3" s="86">
        <f>N3+N2</f>
        <v>28464.057199999996</v>
      </c>
    </row>
    <row r="4" spans="2:15" ht="26">
      <c r="B4" s="1" t="s">
        <v>162</v>
      </c>
      <c r="C4" s="1">
        <f>'P&amp;L'!G4-'P&amp;L'!E4</f>
        <v>16669.280000000028</v>
      </c>
      <c r="K4" s="89" t="str">
        <f>B3</f>
        <v>EBITDA FY18</v>
      </c>
      <c r="L4" s="90" t="str">
        <f>B4</f>
        <v>Delta Revenues</v>
      </c>
      <c r="M4" s="90" t="str">
        <f>B5</f>
        <v>Delta Cogs</v>
      </c>
      <c r="N4" s="90" t="str">
        <f>B6</f>
        <v>Delta Opex</v>
      </c>
      <c r="O4" s="91" t="str">
        <f>B7</f>
        <v>EBITDA FY19</v>
      </c>
    </row>
    <row r="5" spans="2:15">
      <c r="B5" s="1" t="s">
        <v>163</v>
      </c>
      <c r="C5" s="1">
        <f>'P&amp;L'!G8-'P&amp;L'!E8</f>
        <v>-18004.399974603031</v>
      </c>
    </row>
    <row r="6" spans="2:15">
      <c r="B6" s="1" t="s">
        <v>164</v>
      </c>
      <c r="C6" s="1">
        <f>'P&amp;L'!G11-'P&amp;L'!E11</f>
        <v>238.30360000000655</v>
      </c>
    </row>
    <row r="7" spans="2:15">
      <c r="B7" s="1" t="s">
        <v>175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11" ht="16">
      <c r="B1" s="2" t="s">
        <v>60</v>
      </c>
    </row>
    <row r="3" spans="2:11" ht="27" thickBot="1">
      <c r="B3" s="17" t="str">
        <f>BS!B3</f>
        <v>$ in thousands</v>
      </c>
      <c r="C3" s="18" t="str">
        <f>BS!C3</f>
        <v>31Dec16
Actual</v>
      </c>
      <c r="D3" s="18" t="str">
        <f>BS!D3</f>
        <v>31Dec17
Actual</v>
      </c>
      <c r="E3" s="18" t="str">
        <f>BS!E3</f>
        <v>31Dec18
Actual</v>
      </c>
      <c r="F3" s="21"/>
      <c r="G3" s="19" t="str">
        <f>BS!G3</f>
        <v>31Dec19
Forecast</v>
      </c>
      <c r="H3" s="19" t="str">
        <f>BS!H3</f>
        <v>31Dec20
Forecast</v>
      </c>
      <c r="I3" s="19" t="str">
        <f>BS!I3</f>
        <v>31Dec21
Forecast</v>
      </c>
      <c r="J3" s="19" t="str">
        <f>BS!J3</f>
        <v>31Dec22
Forecast</v>
      </c>
      <c r="K3" s="19" t="str">
        <f>BS!K3</f>
        <v>31Dec23
Forecast</v>
      </c>
    </row>
    <row r="4" spans="2:11">
      <c r="B4" s="11" t="str">
        <f>BS!B8</f>
        <v>Inventory</v>
      </c>
      <c r="C4" s="82">
        <f>BS!C8</f>
        <v>31167.200000000001</v>
      </c>
      <c r="D4" s="82">
        <f>BS!D8</f>
        <v>36396.800000000003</v>
      </c>
      <c r="E4" s="82">
        <f>BS!E8</f>
        <v>46212</v>
      </c>
      <c r="F4" s="82"/>
      <c r="G4" s="83">
        <f>BS!G8</f>
        <v>51493.887128335395</v>
      </c>
      <c r="H4" s="83">
        <f>BS!H8</f>
        <v>55613.398098602222</v>
      </c>
      <c r="I4" s="83">
        <f>BS!I8</f>
        <v>60062.469946490404</v>
      </c>
      <c r="J4" s="83">
        <f>BS!J8</f>
        <v>64867.467542209641</v>
      </c>
      <c r="K4" s="83">
        <f>BS!K8</f>
        <v>70056.864945586407</v>
      </c>
    </row>
    <row r="5" spans="2:11">
      <c r="B5" s="1" t="str">
        <f>BS!B9</f>
        <v>Trade receivable</v>
      </c>
      <c r="C5" s="82">
        <f>BS!C9</f>
        <v>32883.599999999999</v>
      </c>
      <c r="D5" s="82">
        <f>BS!D9</f>
        <v>38556</v>
      </c>
      <c r="E5" s="82">
        <f>BS!E9</f>
        <v>43581.599999999999</v>
      </c>
      <c r="F5" s="82"/>
      <c r="G5" s="83">
        <f>BS!G9</f>
        <v>47068.128000000004</v>
      </c>
      <c r="H5" s="83">
        <f>BS!H9</f>
        <v>50833.578240000003</v>
      </c>
      <c r="I5" s="83">
        <f>BS!I9</f>
        <v>54900.264499199999</v>
      </c>
      <c r="J5" s="83">
        <f>BS!J9</f>
        <v>59292.285659136011</v>
      </c>
      <c r="K5" s="83">
        <f>BS!K9</f>
        <v>64035.66851186689</v>
      </c>
    </row>
    <row r="6" spans="2:11">
      <c r="B6" s="1" t="str">
        <f>BS!B16</f>
        <v>Trade payable</v>
      </c>
      <c r="C6" s="82">
        <f>BS!C16</f>
        <v>15891.2</v>
      </c>
      <c r="D6" s="82">
        <f>BS!D16</f>
        <v>26351.599999999999</v>
      </c>
      <c r="E6" s="82">
        <f>BS!E16</f>
        <v>36189.599999999999</v>
      </c>
      <c r="F6" s="82"/>
      <c r="G6" s="83">
        <f>BS!G16</f>
        <v>40325.958141166935</v>
      </c>
      <c r="H6" s="83">
        <f>BS!H16</f>
        <v>43552.034792460297</v>
      </c>
      <c r="I6" s="83">
        <f>BS!I16</f>
        <v>47036.197575857121</v>
      </c>
      <c r="J6" s="83">
        <f>BS!J16</f>
        <v>50799.09338192569</v>
      </c>
      <c r="K6" s="83">
        <f>BS!K16</f>
        <v>54863.020852479742</v>
      </c>
    </row>
    <row r="7" spans="2:11">
      <c r="B7" s="92" t="s">
        <v>60</v>
      </c>
      <c r="C7" s="93">
        <f>C4+C5-C6</f>
        <v>48159.600000000006</v>
      </c>
      <c r="D7" s="93">
        <f>D4+D5-D6</f>
        <v>48601.200000000004</v>
      </c>
      <c r="E7" s="93">
        <f>E4+E5-E6</f>
        <v>53604.000000000007</v>
      </c>
      <c r="F7" s="93"/>
      <c r="G7" s="94">
        <f>G4+G5-G6</f>
        <v>58236.056987168457</v>
      </c>
      <c r="H7" s="94">
        <f>H4+H5-H6</f>
        <v>62894.941546141927</v>
      </c>
      <c r="I7" s="94">
        <f>I4+I5-I6</f>
        <v>67926.53686983329</v>
      </c>
      <c r="J7" s="94">
        <f>J4+J5-J6</f>
        <v>73360.659819419961</v>
      </c>
      <c r="K7" s="94">
        <f>K4+K5-K6</f>
        <v>79229.51260497357</v>
      </c>
    </row>
    <row r="9" spans="2:11">
      <c r="B9" s="11" t="s">
        <v>165</v>
      </c>
      <c r="C9" s="82">
        <f>'BS assumptions'!C6</f>
        <v>66.805279820319072</v>
      </c>
      <c r="D9" s="82">
        <f>'BS assumptions'!D6</f>
        <v>73.588734903349632</v>
      </c>
      <c r="E9" s="82">
        <f>'BS assumptions'!E6</f>
        <v>75.297198199322338</v>
      </c>
      <c r="F9" s="82"/>
      <c r="G9" s="83">
        <f>'BS assumptions'!G6</f>
        <v>75.297198199322338</v>
      </c>
      <c r="H9" s="83">
        <f>'BS assumptions'!H6</f>
        <v>75.297198199322338</v>
      </c>
      <c r="I9" s="83">
        <f>'BS assumptions'!I6</f>
        <v>75.297198199322338</v>
      </c>
      <c r="J9" s="83">
        <f>'BS assumptions'!J6</f>
        <v>75.297198199322338</v>
      </c>
      <c r="K9" s="83">
        <f>'BS assumptions'!K6</f>
        <v>75.297198199322338</v>
      </c>
    </row>
    <row r="10" spans="2:11">
      <c r="B10" s="1" t="s">
        <v>166</v>
      </c>
      <c r="C10" s="82">
        <f>'BS assumptions'!C9</f>
        <v>78.796599890979181</v>
      </c>
      <c r="D10" s="82">
        <f>'BS assumptions'!D9</f>
        <v>87.020385727810066</v>
      </c>
      <c r="E10" s="82">
        <f>'BS assumptions'!E9</f>
        <v>105.61192646702818</v>
      </c>
      <c r="F10" s="82"/>
      <c r="G10" s="83">
        <f>'BS assumptions'!G9</f>
        <v>105.61192646702818</v>
      </c>
      <c r="H10" s="83">
        <f>'BS assumptions'!H9</f>
        <v>105.61192646702818</v>
      </c>
      <c r="I10" s="83">
        <f>'BS assumptions'!I9</f>
        <v>105.61192646702818</v>
      </c>
      <c r="J10" s="83">
        <f>'BS assumptions'!J9</f>
        <v>105.61192646702818</v>
      </c>
      <c r="K10" s="83">
        <f>'BS assumptions'!K9</f>
        <v>105.61192646702818</v>
      </c>
    </row>
    <row r="11" spans="2:11">
      <c r="B11" s="1" t="s">
        <v>167</v>
      </c>
      <c r="C11" s="82">
        <f>'BS assumptions'!C12</f>
        <v>40.175971155173656</v>
      </c>
      <c r="D11" s="82">
        <f>'BS assumptions'!D12</f>
        <v>63.003516697758023</v>
      </c>
      <c r="E11" s="82">
        <f>'BS assumptions'!E12</f>
        <v>82.706945686643365</v>
      </c>
      <c r="F11" s="82"/>
      <c r="G11" s="83">
        <f>'BS assumptions'!G12</f>
        <v>82.706945686643365</v>
      </c>
      <c r="H11" s="83">
        <f>'BS assumptions'!H12</f>
        <v>82.706945686643365</v>
      </c>
      <c r="I11" s="83">
        <f>'BS assumptions'!I12</f>
        <v>82.706945686643365</v>
      </c>
      <c r="J11" s="83">
        <f>'BS assumptions'!J12</f>
        <v>82.706945686643365</v>
      </c>
      <c r="K11" s="83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14" ht="16">
      <c r="B1" s="2" t="s">
        <v>61</v>
      </c>
    </row>
    <row r="4" spans="2:14" ht="13" thickBot="1">
      <c r="B4" s="95" t="s">
        <v>168</v>
      </c>
      <c r="C4" s="96"/>
      <c r="G4" s="95" t="s">
        <v>169</v>
      </c>
      <c r="H4" s="96"/>
      <c r="M4" s="95" t="s">
        <v>170</v>
      </c>
      <c r="N4" s="96"/>
    </row>
    <row r="5" spans="2:14">
      <c r="B5" s="1" t="s">
        <v>171</v>
      </c>
      <c r="C5" s="36">
        <v>208374.25803815882</v>
      </c>
      <c r="G5" s="1" t="s">
        <v>171</v>
      </c>
      <c r="H5" s="36">
        <v>135602.88371797375</v>
      </c>
      <c r="M5" s="1" t="s">
        <v>171</v>
      </c>
      <c r="N5" s="82">
        <v>101216.94166051672</v>
      </c>
    </row>
    <row r="6" spans="2:14">
      <c r="B6" s="1" t="s">
        <v>172</v>
      </c>
      <c r="C6" s="25">
        <v>0.30085866160702229</v>
      </c>
      <c r="G6" s="1" t="s">
        <v>172</v>
      </c>
      <c r="H6" s="97">
        <v>0.31591165336933186</v>
      </c>
      <c r="M6" s="1" t="s">
        <v>172</v>
      </c>
      <c r="N6" s="25">
        <v>0.33470503116615574</v>
      </c>
    </row>
    <row r="7" spans="2:14">
      <c r="B7" s="1" t="s">
        <v>173</v>
      </c>
      <c r="C7" s="25">
        <v>0.69914133839297776</v>
      </c>
      <c r="G7" s="1" t="s">
        <v>173</v>
      </c>
      <c r="H7" s="97">
        <v>0.6840883466306682</v>
      </c>
      <c r="M7" s="1" t="s">
        <v>173</v>
      </c>
      <c r="N7" s="25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baseColWidth="10" defaultColWidth="9.1640625" defaultRowHeight="12"/>
  <cols>
    <col min="1" max="1" width="2" style="7" customWidth="1"/>
    <col min="2" max="2" width="27.83203125" style="7" bestFit="1" customWidth="1"/>
    <col min="3" max="3" width="9.1640625" style="7"/>
    <col min="4" max="6" width="10.5" style="7" bestFit="1" customWidth="1"/>
    <col min="7" max="16384" width="9.1640625" style="7"/>
  </cols>
  <sheetData>
    <row r="1" spans="2:13" ht="16">
      <c r="B1" s="6" t="s">
        <v>1</v>
      </c>
    </row>
    <row r="3" spans="2:13" ht="26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3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H13" sqref="H13"/>
    </sheetView>
  </sheetViews>
  <sheetFormatPr baseColWidth="10" defaultColWidth="9.1640625" defaultRowHeight="12"/>
  <cols>
    <col min="1" max="1" width="2" style="7" customWidth="1"/>
    <col min="2" max="2" width="24.1640625" style="7" bestFit="1" customWidth="1"/>
    <col min="3" max="3" width="9.1640625" style="7"/>
    <col min="4" max="4" width="10.83203125" style="7" customWidth="1"/>
    <col min="5" max="5" width="10.6640625" style="7" customWidth="1"/>
    <col min="6" max="6" width="10" style="7" bestFit="1" customWidth="1"/>
    <col min="7" max="7" width="9.1640625" style="7"/>
    <col min="8" max="8" width="22.1640625" style="7" bestFit="1" customWidth="1"/>
    <col min="9" max="9" width="9.1640625" style="7"/>
    <col min="10" max="10" width="10" style="7" bestFit="1" customWidth="1"/>
    <col min="11" max="11" width="10.5" style="7" customWidth="1"/>
    <col min="12" max="12" width="11.1640625" style="7" customWidth="1"/>
    <col min="13" max="16384" width="9.1640625" style="7"/>
  </cols>
  <sheetData>
    <row r="1" spans="2:12" ht="16">
      <c r="B1" s="6" t="s">
        <v>0</v>
      </c>
    </row>
    <row r="3" spans="2:12" ht="26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3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3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3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3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2022-09-26T02:24:11Z</dcterms:modified>
</cp:coreProperties>
</file>