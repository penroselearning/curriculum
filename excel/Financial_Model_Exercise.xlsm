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filterPrivacy="1" codeName="ThisWorkbook" defaultThemeVersion="124226"/>
  <xr:revisionPtr revIDLastSave="0" documentId="13_ncr:1_{6748532B-DAA8-6A47-AD9F-B5D4116D8E6C}" xr6:coauthVersionLast="47" xr6:coauthVersionMax="47" xr10:uidLastSave="{00000000-0000-0000-0000-000000000000}"/>
  <bookViews>
    <workbookView xWindow="0" yWindow="500" windowWidth="28800" windowHeight="15800" activeTab="2" xr2:uid="{00000000-000D-0000-FFFF-FFFF00000000}"/>
  </bookViews>
  <sheets>
    <sheet name="Index" sheetId="4" r:id="rId1"/>
    <sheet name="1.Sources --&gt;" sheetId="1" r:id="rId2"/>
    <sheet name="IS" sheetId="2" r:id="rId3"/>
    <sheet name="BS source" sheetId="3" r:id="rId4"/>
    <sheet name="2.Input --&gt;" sheetId="17" r:id="rId5"/>
    <sheet name="P&amp;L assumptions" sheetId="8" r:id="rId6"/>
    <sheet name="BS assumptions" sheetId="9" r:id="rId7"/>
    <sheet name="3.Output--&gt;" sheetId="18" r:id="rId8"/>
    <sheet name="P&amp;L" sheetId="5" r:id="rId9"/>
    <sheet name="BS" sheetId="7" r:id="rId10"/>
    <sheet name="Cash Flow" sheetId="6" r:id="rId11"/>
    <sheet name="DCF valuation" sheetId="11" r:id="rId12"/>
    <sheet name="4.Charts  --&gt;" sheetId="12" r:id="rId13"/>
    <sheet name="Revenues&amp;Ebitda" sheetId="20" r:id="rId14"/>
    <sheet name="Cash flows" sheetId="21" r:id="rId15"/>
    <sheet name="Ebitda bridge" sheetId="22" r:id="rId16"/>
    <sheet name="Working capital" sheetId="23" r:id="rId17"/>
    <sheet name="DCF results" sheetId="24" r:id="rId18"/>
  </sheets>
  <externalReferences>
    <externalReference r:id="rId19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3" l="1"/>
  <c r="D26" i="3"/>
  <c r="E26" i="3"/>
  <c r="E17" i="2"/>
  <c r="D17" i="2"/>
  <c r="C17" i="2"/>
  <c r="E15" i="2"/>
  <c r="D15" i="2"/>
  <c r="C15" i="2"/>
  <c r="E10" i="2"/>
  <c r="D10" i="2"/>
  <c r="C10" i="2"/>
  <c r="E14" i="5" a="1"/>
  <c r="D9" i="5" a="1"/>
  <c r="C5" i="5" a="1"/>
  <c r="E17" i="9" a="1"/>
  <c r="D8" i="9" a="1"/>
  <c r="E8" i="9" a="1"/>
  <c r="E14" i="9" a="1"/>
  <c r="D20" i="9" a="1"/>
  <c r="E20" i="9" a="1"/>
  <c r="C5" i="9" a="1"/>
  <c r="D14" i="5" a="1"/>
  <c r="E9" i="5" a="1"/>
  <c r="D4" i="5" a="1"/>
  <c r="C17" i="9" a="1"/>
  <c r="D5" i="9" a="1"/>
  <c r="C13" i="5" a="1"/>
  <c r="E5" i="9" a="1"/>
  <c r="E11" i="5" a="1"/>
  <c r="E13" i="5" a="1"/>
  <c r="C9" i="5" a="1"/>
  <c r="E4" i="5" a="1"/>
  <c r="C14" i="9" a="1"/>
  <c r="C8" i="9" a="1"/>
  <c r="E7" i="5" a="1"/>
  <c r="C7" i="5" a="1"/>
  <c r="E11" i="9" a="1"/>
  <c r="D13" i="5" a="1"/>
  <c r="D7" i="5" a="1"/>
  <c r="C4" i="5" a="1"/>
  <c r="D14" i="9" a="1"/>
  <c r="D11" i="9" a="1"/>
  <c r="C20" i="9" a="1"/>
  <c r="C11" i="9" a="1"/>
  <c r="D17" i="5" a="1"/>
  <c r="E17" i="5" a="1"/>
  <c r="C17" i="5" a="1"/>
  <c r="C11" i="5" a="1"/>
  <c r="D5" i="5" a="1"/>
  <c r="C14" i="5" a="1"/>
  <c r="D11" i="5" a="1"/>
  <c r="E5" i="5" a="1"/>
  <c r="D17" i="9" a="1"/>
  <c r="C17" i="5" l="1"/>
  <c r="E17" i="5"/>
  <c r="D17" i="5"/>
  <c r="D14" i="5"/>
  <c r="E14" i="5"/>
  <c r="C14" i="5"/>
  <c r="C13" i="5"/>
  <c r="D13" i="5"/>
  <c r="E13" i="5"/>
  <c r="D11" i="5"/>
  <c r="C11" i="5"/>
  <c r="E11" i="5"/>
  <c r="C9" i="5"/>
  <c r="E9" i="5"/>
  <c r="D9" i="5"/>
  <c r="C7" i="5"/>
  <c r="E7" i="5"/>
  <c r="D7" i="5"/>
  <c r="C5" i="5"/>
  <c r="E5" i="5"/>
  <c r="D5" i="5"/>
  <c r="E4" i="5"/>
  <c r="D4" i="5"/>
  <c r="C4" i="5"/>
  <c r="C20" i="9"/>
  <c r="E20" i="9"/>
  <c r="D20" i="9"/>
  <c r="C17" i="9"/>
  <c r="E17" i="9"/>
  <c r="D17" i="9"/>
  <c r="D14" i="9"/>
  <c r="E14" i="9"/>
  <c r="C14" i="9"/>
  <c r="C11" i="9"/>
  <c r="E11" i="9"/>
  <c r="D11" i="9"/>
  <c r="C8" i="9"/>
  <c r="E8" i="9"/>
  <c r="D8" i="9"/>
  <c r="E5" i="9"/>
  <c r="D5" i="9"/>
  <c r="C5" i="9"/>
  <c r="E21" i="6" a="1"/>
  <c r="E25" i="6" a="1"/>
  <c r="D25" i="6" a="1"/>
  <c r="D21" i="6" a="1"/>
  <c r="E9" i="6" a="1"/>
  <c r="D9" i="6" a="1"/>
  <c r="D25" i="6" l="1"/>
  <c r="E25" i="6"/>
  <c r="E21" i="6"/>
  <c r="D21" i="6"/>
  <c r="E9" i="6"/>
  <c r="D9" i="6"/>
  <c r="C6" i="5"/>
  <c r="B6" i="23"/>
  <c r="B5" i="23"/>
  <c r="B4" i="23"/>
  <c r="K3" i="23"/>
  <c r="J3" i="23"/>
  <c r="I3" i="23"/>
  <c r="H3" i="23"/>
  <c r="G3" i="23"/>
  <c r="E3" i="23"/>
  <c r="D3" i="23"/>
  <c r="C3" i="23"/>
  <c r="B3" i="23"/>
  <c r="B4" i="20"/>
  <c r="K3" i="20"/>
  <c r="J3" i="20"/>
  <c r="I3" i="20"/>
  <c r="H3" i="20"/>
  <c r="G3" i="20"/>
  <c r="E3" i="20"/>
  <c r="D3" i="20"/>
  <c r="C3" i="20"/>
  <c r="B3" i="20"/>
  <c r="O4" i="22"/>
  <c r="N4" i="22"/>
  <c r="M4" i="22"/>
  <c r="L4" i="22"/>
  <c r="K4" i="22"/>
  <c r="E15" i="7" l="1"/>
  <c r="F15" i="7" s="1"/>
  <c r="G27" i="6" s="1"/>
  <c r="D15" i="7"/>
  <c r="C15" i="7"/>
  <c r="E10" i="7"/>
  <c r="D10" i="7"/>
  <c r="C10" i="7"/>
  <c r="D31" i="6" s="1"/>
  <c r="E6" i="7"/>
  <c r="G6" i="7" s="1"/>
  <c r="D6" i="7"/>
  <c r="C6" i="7"/>
  <c r="E4" i="7"/>
  <c r="G4" i="7" s="1"/>
  <c r="D4" i="7"/>
  <c r="C4" i="7"/>
  <c r="F4" i="7" l="1"/>
  <c r="I6" i="7"/>
  <c r="J6" i="7"/>
  <c r="H6" i="7"/>
  <c r="E31" i="6"/>
  <c r="D34" i="6"/>
  <c r="D19" i="6"/>
  <c r="E19" i="6"/>
  <c r="H4" i="7"/>
  <c r="E27" i="6"/>
  <c r="I4" i="7"/>
  <c r="J4" i="7"/>
  <c r="F6" i="7"/>
  <c r="G19" i="6" s="1"/>
  <c r="I15" i="7"/>
  <c r="G31" i="6"/>
  <c r="E34" i="6"/>
  <c r="D27" i="6"/>
  <c r="G15" i="7"/>
  <c r="H27" i="6" s="1"/>
  <c r="H15" i="7"/>
  <c r="J15" i="7"/>
  <c r="I27" i="6" l="1"/>
  <c r="K19" i="6"/>
  <c r="J27" i="6"/>
  <c r="K27" i="6"/>
  <c r="I19" i="6"/>
  <c r="H19" i="6"/>
  <c r="J19" i="6"/>
  <c r="E14" i="7" l="1"/>
  <c r="D14" i="7"/>
  <c r="C14" i="7"/>
  <c r="E9" i="7"/>
  <c r="D9" i="7"/>
  <c r="C9" i="7"/>
  <c r="E5" i="7"/>
  <c r="D5" i="7"/>
  <c r="C5" i="7"/>
  <c r="E16" i="6" l="1"/>
  <c r="D16" i="6"/>
  <c r="E13" i="7" l="1"/>
  <c r="D13" i="7"/>
  <c r="C13" i="7"/>
  <c r="E7" i="7"/>
  <c r="D7" i="7"/>
  <c r="E8" i="7"/>
  <c r="D8" i="7"/>
  <c r="C7" i="7"/>
  <c r="C8" i="7"/>
  <c r="C5" i="23" s="1"/>
  <c r="D6" i="23" l="1"/>
  <c r="D14" i="6"/>
  <c r="E4" i="23"/>
  <c r="E12" i="6"/>
  <c r="E11" i="7"/>
  <c r="D4" i="23"/>
  <c r="D12" i="6"/>
  <c r="D11" i="7"/>
  <c r="D5" i="23"/>
  <c r="D13" i="6"/>
  <c r="C6" i="23"/>
  <c r="E6" i="23"/>
  <c r="E14" i="6"/>
  <c r="C4" i="23"/>
  <c r="C11" i="7"/>
  <c r="E5" i="23"/>
  <c r="E13" i="6"/>
  <c r="E15" i="6" l="1"/>
  <c r="E7" i="23"/>
  <c r="D15" i="6"/>
  <c r="C7" i="23"/>
  <c r="D7" i="23"/>
  <c r="J16" i="5" l="1"/>
  <c r="K6" i="6" s="1"/>
  <c r="I16" i="5"/>
  <c r="J6" i="6" s="1"/>
  <c r="H16" i="5"/>
  <c r="I6" i="6" s="1"/>
  <c r="G16" i="5"/>
  <c r="H6" i="6" s="1"/>
  <c r="F16" i="5"/>
  <c r="G6" i="6" s="1"/>
  <c r="C10" i="23" l="1"/>
  <c r="C11" i="23"/>
  <c r="F13" i="5"/>
  <c r="G25" i="6" s="1"/>
  <c r="F5" i="5"/>
  <c r="D11" i="23"/>
  <c r="D10" i="23"/>
  <c r="E11" i="23" l="1"/>
  <c r="J12" i="9"/>
  <c r="J11" i="23" s="1"/>
  <c r="H12" i="9"/>
  <c r="H11" i="23" s="1"/>
  <c r="K12" i="9"/>
  <c r="K11" i="23" s="1"/>
  <c r="I12" i="9"/>
  <c r="I11" i="23" s="1"/>
  <c r="G12" i="9"/>
  <c r="G11" i="23" s="1"/>
  <c r="E18" i="6"/>
  <c r="E10" i="23"/>
  <c r="I9" i="9"/>
  <c r="I10" i="23" s="1"/>
  <c r="K9" i="9"/>
  <c r="K10" i="23" s="1"/>
  <c r="H9" i="9"/>
  <c r="H10" i="23" s="1"/>
  <c r="J9" i="9"/>
  <c r="J10" i="23" s="1"/>
  <c r="G9" i="9"/>
  <c r="G10" i="23" s="1"/>
  <c r="D18" i="6"/>
  <c r="G13" i="5" l="1"/>
  <c r="H25" i="6" s="1"/>
  <c r="G5" i="5"/>
  <c r="C9" i="23"/>
  <c r="D9" i="23"/>
  <c r="H5" i="5"/>
  <c r="H13" i="5"/>
  <c r="I25" i="6" s="1"/>
  <c r="B9" i="4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6" i="4" s="1"/>
  <c r="B7" i="4" s="1"/>
  <c r="F9" i="7" l="1"/>
  <c r="F4" i="5"/>
  <c r="F14" i="5"/>
  <c r="G21" i="6" s="1"/>
  <c r="F11" i="5"/>
  <c r="G9" i="6" s="1"/>
  <c r="F9" i="5"/>
  <c r="C6" i="22" s="1"/>
  <c r="N3" i="22" s="1"/>
  <c r="F5" i="7"/>
  <c r="E9" i="23"/>
  <c r="K6" i="9"/>
  <c r="K9" i="23" s="1"/>
  <c r="I6" i="9"/>
  <c r="I9" i="23" s="1"/>
  <c r="H6" i="9"/>
  <c r="G6" i="9"/>
  <c r="J6" i="9"/>
  <c r="J9" i="23" s="1"/>
  <c r="F14" i="7"/>
  <c r="J13" i="5"/>
  <c r="K25" i="6" s="1"/>
  <c r="I13" i="5"/>
  <c r="J25" i="6" s="1"/>
  <c r="J5" i="5"/>
  <c r="I5" i="5"/>
  <c r="E6" i="2"/>
  <c r="E21" i="2" s="1"/>
  <c r="E26" i="2" s="1"/>
  <c r="D6" i="2"/>
  <c r="D21" i="2" s="1"/>
  <c r="D26" i="2" s="1"/>
  <c r="C6" i="2"/>
  <c r="C21" i="2" s="1"/>
  <c r="C26" i="2" s="1"/>
  <c r="G5" i="7" l="1"/>
  <c r="G9" i="7"/>
  <c r="F7" i="5"/>
  <c r="C5" i="22" s="1"/>
  <c r="M3" i="22" s="1"/>
  <c r="G11" i="9"/>
  <c r="F13" i="7" s="1"/>
  <c r="G8" i="9"/>
  <c r="F7" i="7" s="1"/>
  <c r="H9" i="23"/>
  <c r="H5" i="9"/>
  <c r="G8" i="7" s="1"/>
  <c r="E30" i="2"/>
  <c r="G14" i="7"/>
  <c r="C30" i="2"/>
  <c r="G4" i="20"/>
  <c r="F6" i="5"/>
  <c r="G4" i="5"/>
  <c r="G14" i="5"/>
  <c r="H21" i="6" s="1"/>
  <c r="G9" i="5"/>
  <c r="H14" i="7"/>
  <c r="G11" i="5"/>
  <c r="H9" i="6" s="1"/>
  <c r="D30" i="2"/>
  <c r="G9" i="23"/>
  <c r="G5" i="9"/>
  <c r="F8" i="7" s="1"/>
  <c r="G18" i="6"/>
  <c r="G16" i="6"/>
  <c r="D8" i="3"/>
  <c r="D30" i="3"/>
  <c r="C30" i="3"/>
  <c r="C15" i="3"/>
  <c r="E15" i="3"/>
  <c r="E8" i="3"/>
  <c r="C8" i="3"/>
  <c r="E30" i="3"/>
  <c r="D15" i="3"/>
  <c r="E23" i="3"/>
  <c r="E16" i="7" s="1"/>
  <c r="D23" i="3"/>
  <c r="D16" i="7" s="1"/>
  <c r="C23" i="3"/>
  <c r="C16" i="7" s="1"/>
  <c r="C17" i="7" s="1"/>
  <c r="C19" i="7" s="1"/>
  <c r="H16" i="6" l="1"/>
  <c r="I5" i="9"/>
  <c r="H8" i="7" s="1"/>
  <c r="I5" i="23" s="1"/>
  <c r="G4" i="23"/>
  <c r="G12" i="6"/>
  <c r="G14" i="6"/>
  <c r="G6" i="23"/>
  <c r="E17" i="7"/>
  <c r="E19" i="7" s="1"/>
  <c r="H9" i="5"/>
  <c r="H11" i="5"/>
  <c r="I9" i="6" s="1"/>
  <c r="H14" i="5"/>
  <c r="I21" i="6" s="1"/>
  <c r="H5" i="7"/>
  <c r="H4" i="5"/>
  <c r="H9" i="7"/>
  <c r="I16" i="6" s="1"/>
  <c r="H13" i="6"/>
  <c r="H5" i="23"/>
  <c r="G7" i="5"/>
  <c r="H11" i="9"/>
  <c r="G13" i="7" s="1"/>
  <c r="H8" i="9"/>
  <c r="G7" i="7" s="1"/>
  <c r="H4" i="20"/>
  <c r="G6" i="5"/>
  <c r="D17" i="7"/>
  <c r="D19" i="7" s="1"/>
  <c r="F8" i="5"/>
  <c r="F10" i="5" s="1"/>
  <c r="G5" i="23"/>
  <c r="G13" i="6"/>
  <c r="H18" i="6"/>
  <c r="C17" i="3"/>
  <c r="E17" i="3"/>
  <c r="E32" i="3"/>
  <c r="C32" i="3"/>
  <c r="D32" i="3"/>
  <c r="D17" i="3"/>
  <c r="G8" i="5" l="1"/>
  <c r="G10" i="5" s="1"/>
  <c r="G12" i="5" s="1"/>
  <c r="G15" i="5" s="1"/>
  <c r="I13" i="6"/>
  <c r="I18" i="6"/>
  <c r="H6" i="5"/>
  <c r="I4" i="20"/>
  <c r="H14" i="6"/>
  <c r="H6" i="23"/>
  <c r="G7" i="23"/>
  <c r="F12" i="5"/>
  <c r="G5" i="20"/>
  <c r="G6" i="20" s="1"/>
  <c r="G15" i="6"/>
  <c r="I5" i="7"/>
  <c r="J5" i="9"/>
  <c r="I8" i="7" s="1"/>
  <c r="I11" i="5"/>
  <c r="J9" i="6" s="1"/>
  <c r="I4" i="5"/>
  <c r="I14" i="5"/>
  <c r="J21" i="6" s="1"/>
  <c r="I9" i="5"/>
  <c r="I14" i="7"/>
  <c r="I9" i="7"/>
  <c r="H4" i="23"/>
  <c r="H12" i="6"/>
  <c r="I11" i="9"/>
  <c r="H13" i="7" s="1"/>
  <c r="H7" i="5"/>
  <c r="I8" i="9"/>
  <c r="H7" i="7" s="1"/>
  <c r="H4" i="6" l="1"/>
  <c r="H5" i="6" s="1"/>
  <c r="H5" i="20"/>
  <c r="H6" i="20" s="1"/>
  <c r="H15" i="6"/>
  <c r="H7" i="23"/>
  <c r="J16" i="6"/>
  <c r="J4" i="20"/>
  <c r="I6" i="5"/>
  <c r="J5" i="7"/>
  <c r="J11" i="5"/>
  <c r="K9" i="6" s="1"/>
  <c r="J9" i="7"/>
  <c r="J9" i="5"/>
  <c r="J14" i="7"/>
  <c r="K5" i="9"/>
  <c r="J8" i="7" s="1"/>
  <c r="J4" i="5"/>
  <c r="J14" i="5"/>
  <c r="K21" i="6" s="1"/>
  <c r="J18" i="6"/>
  <c r="I7" i="5"/>
  <c r="J11" i="9"/>
  <c r="I13" i="7" s="1"/>
  <c r="J8" i="9"/>
  <c r="I7" i="7" s="1"/>
  <c r="I4" i="23"/>
  <c r="I12" i="6"/>
  <c r="I14" i="6"/>
  <c r="I6" i="23"/>
  <c r="G4" i="6"/>
  <c r="G5" i="6" s="1"/>
  <c r="G7" i="6" s="1"/>
  <c r="G10" i="6" s="1"/>
  <c r="G23" i="6" s="1"/>
  <c r="F15" i="5"/>
  <c r="F17" i="5" s="1"/>
  <c r="J5" i="23"/>
  <c r="J13" i="6"/>
  <c r="H8" i="5"/>
  <c r="H10" i="5" s="1"/>
  <c r="G17" i="5"/>
  <c r="G19" i="5" s="1"/>
  <c r="F19" i="5" l="1"/>
  <c r="F16" i="7" s="1"/>
  <c r="G16" i="7" s="1"/>
  <c r="K16" i="6"/>
  <c r="K18" i="6"/>
  <c r="H12" i="5"/>
  <c r="I5" i="20"/>
  <c r="I6" i="20" s="1"/>
  <c r="J6" i="5"/>
  <c r="K4" i="20"/>
  <c r="I15" i="6"/>
  <c r="I7" i="23"/>
  <c r="K11" i="9"/>
  <c r="J13" i="7" s="1"/>
  <c r="K8" i="9"/>
  <c r="J7" i="7" s="1"/>
  <c r="J7" i="5"/>
  <c r="K5" i="23"/>
  <c r="K13" i="6"/>
  <c r="J6" i="23"/>
  <c r="J14" i="6"/>
  <c r="I8" i="5"/>
  <c r="I10" i="5" s="1"/>
  <c r="G26" i="6"/>
  <c r="J4" i="23"/>
  <c r="J12" i="6"/>
  <c r="H26" i="6"/>
  <c r="H7" i="6"/>
  <c r="H10" i="6" s="1"/>
  <c r="H23" i="6" s="1"/>
  <c r="C4" i="21"/>
  <c r="F11" i="11"/>
  <c r="C5" i="21" s="1"/>
  <c r="F17" i="7" l="1"/>
  <c r="G28" i="6"/>
  <c r="G29" i="6" s="1"/>
  <c r="G32" i="6" s="1"/>
  <c r="I12" i="5"/>
  <c r="J5" i="20"/>
  <c r="J6" i="20" s="1"/>
  <c r="H15" i="5"/>
  <c r="H17" i="5" s="1"/>
  <c r="H19" i="5" s="1"/>
  <c r="H16" i="7" s="1"/>
  <c r="I4" i="6"/>
  <c r="K14" i="6"/>
  <c r="K6" i="23"/>
  <c r="J8" i="5"/>
  <c r="J10" i="5" s="1"/>
  <c r="J15" i="6"/>
  <c r="J7" i="23"/>
  <c r="K4" i="23"/>
  <c r="K12" i="6"/>
  <c r="H28" i="6"/>
  <c r="H29" i="6" s="1"/>
  <c r="G17" i="7"/>
  <c r="G8" i="11"/>
  <c r="F10" i="7" l="1"/>
  <c r="H31" i="6" s="1"/>
  <c r="H32" i="6" s="1"/>
  <c r="I5" i="6"/>
  <c r="I26" i="6" s="1"/>
  <c r="K5" i="20"/>
  <c r="K6" i="20" s="1"/>
  <c r="J12" i="5"/>
  <c r="K7" i="23"/>
  <c r="K15" i="6"/>
  <c r="I15" i="5"/>
  <c r="I17" i="5" s="1"/>
  <c r="J4" i="6"/>
  <c r="J5" i="6" s="1"/>
  <c r="J7" i="6" s="1"/>
  <c r="J10" i="6" s="1"/>
  <c r="J23" i="6" s="1"/>
  <c r="I8" i="11" s="1"/>
  <c r="F4" i="21" s="1"/>
  <c r="I28" i="6"/>
  <c r="H17" i="7"/>
  <c r="D4" i="21"/>
  <c r="G11" i="11"/>
  <c r="D5" i="21" s="1"/>
  <c r="F11" i="7" l="1"/>
  <c r="F19" i="7" s="1"/>
  <c r="G10" i="7"/>
  <c r="I31" i="6" s="1"/>
  <c r="G34" i="6"/>
  <c r="G35" i="6" s="1"/>
  <c r="I7" i="6"/>
  <c r="I10" i="6" s="1"/>
  <c r="I23" i="6" s="1"/>
  <c r="H8" i="11" s="1"/>
  <c r="E4" i="21" s="1"/>
  <c r="I11" i="11"/>
  <c r="F5" i="21" s="1"/>
  <c r="I19" i="5"/>
  <c r="I16" i="7" s="1"/>
  <c r="I17" i="7" s="1"/>
  <c r="J26" i="6"/>
  <c r="K4" i="6"/>
  <c r="J15" i="5"/>
  <c r="J17" i="5" s="1"/>
  <c r="J19" i="5" s="1"/>
  <c r="G11" i="7" l="1"/>
  <c r="G19" i="7" s="1"/>
  <c r="H34" i="6"/>
  <c r="H35" i="6" s="1"/>
  <c r="I29" i="6"/>
  <c r="H10" i="7" s="1"/>
  <c r="H11" i="7" s="1"/>
  <c r="H19" i="7" s="1"/>
  <c r="H11" i="11"/>
  <c r="E5" i="21" s="1"/>
  <c r="J16" i="7"/>
  <c r="K28" i="6" s="1"/>
  <c r="J28" i="6"/>
  <c r="J29" i="6" s="1"/>
  <c r="K5" i="6"/>
  <c r="K26" i="6" s="1"/>
  <c r="K7" i="6" l="1"/>
  <c r="K10" i="6" s="1"/>
  <c r="K23" i="6" s="1"/>
  <c r="J8" i="11" s="1"/>
  <c r="J11" i="11" s="1"/>
  <c r="J17" i="7"/>
  <c r="I32" i="6"/>
  <c r="I34" i="6"/>
  <c r="J31" i="6"/>
  <c r="J32" i="6" s="1"/>
  <c r="I10" i="7"/>
  <c r="J34" i="6" s="1"/>
  <c r="I35" i="6" l="1"/>
  <c r="G4" i="21"/>
  <c r="G5" i="21"/>
  <c r="K29" i="6"/>
  <c r="J10" i="7" s="1"/>
  <c r="J35" i="6"/>
  <c r="K31" i="6"/>
  <c r="I11" i="7"/>
  <c r="I19" i="7" s="1"/>
  <c r="K34" i="6" l="1"/>
  <c r="J11" i="7"/>
  <c r="J19" i="7" s="1"/>
  <c r="K32" i="6"/>
  <c r="K35" i="6" l="1"/>
  <c r="C4" i="20" l="1"/>
  <c r="C8" i="5"/>
  <c r="C10" i="5" s="1"/>
  <c r="C12" i="5" s="1"/>
  <c r="C15" i="5" s="1"/>
  <c r="C16" i="5" l="1"/>
  <c r="C19" i="5"/>
  <c r="C5" i="20"/>
  <c r="C6" i="20" s="1"/>
  <c r="D4" i="20"/>
  <c r="E4" i="20"/>
  <c r="E6" i="5"/>
  <c r="E8" i="5" s="1"/>
  <c r="E10" i="5" s="1"/>
  <c r="C4" i="22"/>
  <c r="L3" i="22" s="1"/>
  <c r="D6" i="5"/>
  <c r="D8" i="5" s="1"/>
  <c r="D10" i="5" s="1"/>
  <c r="D5" i="20" s="1"/>
  <c r="D6" i="20" l="1"/>
  <c r="C3" i="22"/>
  <c r="K2" i="22" s="1"/>
  <c r="L2" i="22" s="1"/>
  <c r="M2" i="22" s="1"/>
  <c r="N2" i="22" s="1"/>
  <c r="O3" i="22" s="1"/>
  <c r="E12" i="5"/>
  <c r="D12" i="5"/>
  <c r="E5" i="20"/>
  <c r="E6" i="20" s="1"/>
  <c r="D4" i="6" a="1"/>
  <c r="E4" i="6" a="1"/>
  <c r="E4" i="6" l="1"/>
  <c r="E15" i="5"/>
  <c r="E16" i="5" s="1"/>
  <c r="D4" i="6"/>
  <c r="D15" i="5"/>
  <c r="E6" i="6" a="1"/>
  <c r="E6" i="6" l="1"/>
  <c r="E5" i="6" s="1"/>
  <c r="E19" i="5"/>
  <c r="E28" i="6" s="1"/>
  <c r="D16" i="5"/>
  <c r="D19" i="5"/>
  <c r="D28" i="6" s="1"/>
  <c r="D6" i="6" a="1"/>
  <c r="D6" i="6" l="1"/>
  <c r="D5" i="6" s="1"/>
  <c r="E26" i="6"/>
  <c r="E7" i="6"/>
  <c r="E10" i="6" s="1"/>
  <c r="E23" i="6" s="1"/>
  <c r="E8" i="11" s="1"/>
  <c r="E29" i="6" l="1"/>
  <c r="E32" i="6" s="1"/>
  <c r="E35" i="6" s="1"/>
  <c r="D26" i="6"/>
  <c r="D7" i="6"/>
  <c r="D10" i="6" s="1"/>
  <c r="D23" i="6" s="1"/>
  <c r="D29" i="6" l="1"/>
  <c r="D32" i="6" s="1"/>
  <c r="D35" i="6" s="1"/>
  <c r="D8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<sst xmlns="http://schemas.openxmlformats.org/spreadsheetml/2006/main" count="317" uniqueCount="164">
  <si>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</si>
  <si>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</si>
  <si>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</si>
  <si>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</si>
  <si>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</si>
  <si>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</si>
  <si>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</si>
  <si>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</si>
  <si>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</si>
  <si>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</si>
  <si>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</si>
  <si>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</si>
  <si>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</si>
  <si>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</si>
  <si>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</si>
  <si>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</si>
  <si>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</si>
  <si>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</si>
  <si>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</si>
  <si>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</si>
  <si>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</si>
  <si>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</si>
  <si>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</si>
  <si>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</si>
  <si>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</si>
  <si>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</si>
  <si>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</si>
  <si>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</si>
  <si>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</si>
  <si>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</si>
  <si>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</si>
  <si>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</si>
  <si>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</si>
  <si>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</si>
  <si>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</si>
  <si>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Other liabilities</t>
  </si>
  <si>
    <t>Bank borrowings</t>
  </si>
  <si>
    <t>Other Financial liabilities</t>
  </si>
  <si>
    <t>Total Liabilities</t>
  </si>
  <si>
    <t>Total Liabilities &amp; Equity</t>
  </si>
  <si>
    <t>Financial assets</t>
  </si>
  <si>
    <t>$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</si>
  <si>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</si>
  <si>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</si>
  <si>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</si>
  <si>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</si>
  <si>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</si>
  <si>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</si>
  <si>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</si>
  <si>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</si>
  <si>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</si>
  <si>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</si>
  <si>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</si>
  <si>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</si>
  <si>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</si>
  <si>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</si>
  <si>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</si>
  <si>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Direct costs</t>
  </si>
  <si>
    <t>Revenues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</si>
  <si>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</si>
  <si>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</si>
  <si>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</si>
  <si>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</si>
  <si>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</si>
  <si>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</si>
  <si>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</si>
  <si>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</si>
  <si>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31Dec16
Actual</t>
  </si>
  <si>
    <t>31Dec17
Actual</t>
  </si>
  <si>
    <t>31Dec18
Actual</t>
  </si>
  <si>
    <t>31Dec19
Forecast</t>
  </si>
  <si>
    <t>31Dec20
Forecast</t>
  </si>
  <si>
    <t>31Dec21
Forecast</t>
  </si>
  <si>
    <t>31Dec22
Forecast</t>
  </si>
  <si>
    <t>31Dec23
Forecast</t>
  </si>
  <si>
    <t>Case 1:</t>
  </si>
  <si>
    <t>Case 2:</t>
  </si>
  <si>
    <t>Case 3:</t>
  </si>
  <si>
    <t>Optimistic case</t>
  </si>
  <si>
    <t>Base case</t>
  </si>
  <si>
    <t>Worst case</t>
  </si>
  <si>
    <t>Selected case</t>
  </si>
  <si>
    <t>Scenarios:</t>
  </si>
  <si>
    <t>y-o-y growth%</t>
  </si>
  <si>
    <t>Other revenues</t>
  </si>
  <si>
    <t>y-o-y growth %</t>
  </si>
  <si>
    <t>Case 1</t>
  </si>
  <si>
    <t>Case 2</t>
  </si>
  <si>
    <t>Case 3</t>
  </si>
  <si>
    <t>Cost of goods sold</t>
  </si>
  <si>
    <t>% of revenues</t>
  </si>
  <si>
    <t>Operating expenses</t>
  </si>
  <si>
    <t>Interest expense</t>
  </si>
  <si>
    <t>% of EBT</t>
  </si>
  <si>
    <t>as a % of revenue</t>
  </si>
  <si>
    <t>Tax rate</t>
  </si>
  <si>
    <t>Gross margin</t>
  </si>
  <si>
    <t>Net income</t>
  </si>
  <si>
    <t>Total revenues</t>
  </si>
  <si>
    <t>Financial liabilities</t>
  </si>
  <si>
    <t>Shareholders' equity</t>
  </si>
  <si>
    <t>Total Liabilities &amp; Equities</t>
  </si>
  <si>
    <t>Check</t>
  </si>
  <si>
    <t>Flat</t>
  </si>
  <si>
    <t>Last year's equity + Net income</t>
  </si>
  <si>
    <t>Operating taxes</t>
  </si>
  <si>
    <t>NOPAT</t>
  </si>
  <si>
    <t>Gross Cash Flow</t>
  </si>
  <si>
    <t>Trade payables</t>
  </si>
  <si>
    <t>Investments in working capital</t>
  </si>
  <si>
    <t>Investments in other assets/liabilities</t>
  </si>
  <si>
    <t>Capex</t>
  </si>
  <si>
    <t>UFCF</t>
  </si>
  <si>
    <t>Other investments</t>
  </si>
  <si>
    <t>Delta Taxes vs. Operating taxes</t>
  </si>
  <si>
    <t>Delta Financial liabilities</t>
  </si>
  <si>
    <t>Delta Equity (incl. dividends)</t>
  </si>
  <si>
    <t>Net Cash Flow</t>
  </si>
  <si>
    <t>1)</t>
  </si>
  <si>
    <t>2)</t>
  </si>
  <si>
    <t>3)</t>
  </si>
  <si>
    <t>4)</t>
  </si>
  <si>
    <t>5)</t>
  </si>
  <si>
    <t>6)</t>
  </si>
  <si>
    <t>1) + 2) + 3) + 4) + 5) + 6)</t>
  </si>
  <si>
    <t>Opening cash</t>
  </si>
  <si>
    <t>Closing cash</t>
  </si>
  <si>
    <t>Discount factor</t>
  </si>
  <si>
    <t>Present value of UFCF</t>
  </si>
  <si>
    <t>PV of Cash flows</t>
  </si>
  <si>
    <t>$</t>
  </si>
  <si>
    <t>Continuing value</t>
  </si>
  <si>
    <t>PV of Continuing value</t>
  </si>
  <si>
    <t>Enterprise value</t>
  </si>
  <si>
    <t>() Financial liabilities</t>
  </si>
  <si>
    <t>Cash</t>
  </si>
  <si>
    <t>Equity value</t>
  </si>
  <si>
    <t>EBITDA%</t>
  </si>
  <si>
    <t>Delta Revenues</t>
  </si>
  <si>
    <t>Delta Cogs</t>
  </si>
  <si>
    <t>Delta Opex</t>
  </si>
  <si>
    <t>DSO</t>
  </si>
  <si>
    <t>DIO</t>
  </si>
  <si>
    <t>DPO</t>
  </si>
  <si>
    <t>Scenario 1</t>
  </si>
  <si>
    <t>Scenario 2</t>
  </si>
  <si>
    <t>Scenario 3</t>
  </si>
  <si>
    <t>Enterprise Value</t>
  </si>
  <si>
    <t>CFs in Forecast period</t>
  </si>
  <si>
    <t>Continuing Value</t>
  </si>
  <si>
    <t>EBITDA FY18</t>
  </si>
  <si>
    <t>EBITDA FY19</t>
  </si>
  <si>
    <t>1.Sources --&gt;</t>
  </si>
  <si>
    <t>FY2016</t>
  </si>
  <si>
    <t>FY2017</t>
  </si>
  <si>
    <t>FY2018</t>
  </si>
  <si>
    <t>Titles</t>
  </si>
  <si>
    <t>USD in Thousands</t>
  </si>
  <si>
    <t>Operating Expenses</t>
  </si>
  <si>
    <t>Cost of goodS sold</t>
  </si>
  <si>
    <t>Interest Expense</t>
  </si>
  <si>
    <t>$ in Thousands</t>
  </si>
  <si>
    <t>Interest Rate</t>
  </si>
  <si>
    <t>Perpetuity Growth (g)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</si>
</sst>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(* #,##0.00_);_(* \(#,##0.00\);_(* &quot;-&quot;??_);_(@_)"/>
    <numFmt numFmtId="164" formatCode="_-* #,##0_-;\-* #,##0_-;_-* &quot;-&quot;_-;_-@_-"/>
    <numFmt numFmtId="165" formatCode="_(&quot;$&quot;* #,##0_);_(&quot;$&quot;* \(#,##0\);_(&quot;$&quot;* &quot;-&quot;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#,##0_);\(#,##0\);&quot; - &quot;_);@_)"/>
    <numFmt numFmtId="180" formatCode="\ #,##0.0_);\(#,##0.0\);&quot; - &quot;_);@_)"/>
    <numFmt numFmtId="181" formatCode="_(* #,##0.0_);_(* \(#,##0.0\);_(* &quot;-&quot;??_);_(@_)"/>
    <numFmt numFmtId="182" formatCode="_(* #,##0.00_);_(* \(#,##0.00\);_(* &quot;-&quot;?_);@_)"/>
    <numFmt numFmtId="183" formatCode="0.0"/>
    <numFmt numFmtId="184" formatCode="_(* #,##0.00000_);_(* \(#,##0.00000\);_(* &quot;-&quot;?_);@_)"/>
    <numFmt numFmtId="185" formatCode="_(* #,##0.000000_);_(* \(#,##0.000000\);_(* &quot;-&quot;?_);@_)"/>
  </numFmts>
  <fonts count="69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b/>
      <sz val="9"/>
      <color theme="0"/>
      <name val="Arial"/>
      <family val="2"/>
      <charset val="204"/>
    </font>
    <font>
      <sz val="9"/>
      <color theme="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002060"/>
      </top>
      <bottom/>
      <diagonal/>
    </border>
  </borders>
  <cellStyleXfs count="166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2" fillId="0" borderId="0"/>
    <xf numFmtId="0" fontId="12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5" borderId="5"/>
    <xf numFmtId="0" fontId="15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6" fillId="0" borderId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9" borderId="0" applyNumberFormat="0" applyBorder="0" applyAlignment="0" applyProtection="0"/>
    <xf numFmtId="0" fontId="17" fillId="12" borderId="0" applyNumberFormat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3" borderId="0" applyNumberFormat="0" applyBorder="0" applyAlignment="0" applyProtection="0"/>
    <xf numFmtId="0" fontId="12" fillId="0" borderId="0"/>
    <xf numFmtId="0" fontId="19" fillId="7" borderId="0" applyNumberFormat="0" applyBorder="0" applyAlignment="0" applyProtection="0"/>
    <xf numFmtId="0" fontId="20" fillId="24" borderId="6" applyNumberFormat="0" applyAlignment="0" applyProtection="0"/>
    <xf numFmtId="0" fontId="21" fillId="25" borderId="7" applyNumberFormat="0" applyAlignment="0" applyProtection="0"/>
    <xf numFmtId="49" fontId="13" fillId="0" borderId="0">
      <alignment horizontal="left" vertical="top" wrapText="1"/>
    </xf>
    <xf numFmtId="172" fontId="1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38" fontId="13" fillId="26" borderId="0" applyNumberFormat="0" applyBorder="0" applyAlignment="0" applyProtection="0"/>
    <xf numFmtId="0" fontId="24" fillId="0" borderId="8" applyNumberFormat="0" applyFill="0" applyAlignment="0" applyProtection="0"/>
    <xf numFmtId="0" fontId="25" fillId="0" borderId="9" applyNumberFormat="0" applyFill="0" applyAlignment="0" applyProtection="0"/>
    <xf numFmtId="0" fontId="26" fillId="0" borderId="10" applyNumberFormat="0" applyFill="0" applyAlignment="0" applyProtection="0"/>
    <xf numFmtId="0" fontId="26" fillId="0" borderId="0" applyNumberFormat="0" applyFill="0" applyBorder="0" applyAlignment="0" applyProtection="0"/>
    <xf numFmtId="0" fontId="27" fillId="11" borderId="6" applyNumberFormat="0" applyAlignment="0" applyProtection="0"/>
    <xf numFmtId="10" fontId="13" fillId="5" borderId="11" applyNumberFormat="0" applyBorder="0" applyAlignment="0" applyProtection="0"/>
    <xf numFmtId="0" fontId="28" fillId="0" borderId="12" applyNumberFormat="0" applyFill="0" applyAlignment="0" applyProtection="0"/>
    <xf numFmtId="175" fontId="29" fillId="0" borderId="0" applyFont="0" applyFill="0" applyBorder="0" applyAlignment="0" applyProtection="0"/>
    <xf numFmtId="174" fontId="12" fillId="0" borderId="0" applyFont="0" applyFill="0" applyBorder="0" applyAlignment="0" applyProtection="0"/>
    <xf numFmtId="4" fontId="30" fillId="0" borderId="0" applyFont="0" applyFill="0" applyBorder="0" applyAlignment="0" applyProtection="0"/>
    <xf numFmtId="165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0" fontId="31" fillId="27" borderId="0" applyNumberFormat="0" applyBorder="0" applyAlignment="0" applyProtection="0"/>
    <xf numFmtId="177" fontId="32" fillId="0" borderId="0"/>
    <xf numFmtId="0" fontId="29" fillId="0" borderId="0"/>
    <xf numFmtId="0" fontId="17" fillId="28" borderId="13" applyNumberFormat="0" applyFont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34" fillId="24" borderId="14" applyNumberFormat="0" applyAlignment="0" applyProtection="0"/>
    <xf numFmtId="9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33" fillId="0" borderId="0" applyNumberFormat="0" applyFont="0" applyFill="0" applyBorder="0" applyAlignment="0" applyProtection="0">
      <alignment horizontal="left"/>
    </xf>
    <xf numFmtId="15" fontId="33" fillId="0" borderId="0" applyFont="0" applyFill="0" applyBorder="0" applyAlignment="0" applyProtection="0"/>
    <xf numFmtId="4" fontId="33" fillId="0" borderId="0" applyFont="0" applyFill="0" applyBorder="0" applyAlignment="0" applyProtection="0"/>
    <xf numFmtId="0" fontId="35" fillId="0" borderId="15">
      <alignment horizontal="center"/>
    </xf>
    <xf numFmtId="3" fontId="33" fillId="0" borderId="0" applyFont="0" applyFill="0" applyBorder="0" applyAlignment="0" applyProtection="0"/>
    <xf numFmtId="0" fontId="33" fillId="29" borderId="0" applyNumberFormat="0" applyFont="0" applyBorder="0" applyAlignment="0" applyProtection="0"/>
    <xf numFmtId="3" fontId="45" fillId="30" borderId="0" applyFont="0" applyFill="0" applyBorder="0" applyAlignment="0" applyProtection="0"/>
    <xf numFmtId="4" fontId="36" fillId="31" borderId="14" applyNumberFormat="0" applyProtection="0">
      <alignment vertical="center"/>
    </xf>
    <xf numFmtId="4" fontId="37" fillId="31" borderId="14" applyNumberFormat="0" applyProtection="0">
      <alignment vertical="center"/>
    </xf>
    <xf numFmtId="4" fontId="36" fillId="31" borderId="14" applyNumberFormat="0" applyProtection="0">
      <alignment horizontal="left" vertical="center" indent="1"/>
    </xf>
    <xf numFmtId="4" fontId="36" fillId="31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33" borderId="14" applyNumberFormat="0" applyProtection="0">
      <alignment horizontal="right" vertical="center"/>
    </xf>
    <xf numFmtId="4" fontId="36" fillId="34" borderId="14" applyNumberFormat="0" applyProtection="0">
      <alignment horizontal="right" vertical="center"/>
    </xf>
    <xf numFmtId="4" fontId="36" fillId="35" borderId="14" applyNumberFormat="0" applyProtection="0">
      <alignment horizontal="right" vertical="center"/>
    </xf>
    <xf numFmtId="4" fontId="36" fillId="36" borderId="14" applyNumberFormat="0" applyProtection="0">
      <alignment horizontal="right" vertical="center"/>
    </xf>
    <xf numFmtId="4" fontId="36" fillId="37" borderId="14" applyNumberFormat="0" applyProtection="0">
      <alignment horizontal="right" vertical="center"/>
    </xf>
    <xf numFmtId="4" fontId="36" fillId="38" borderId="14" applyNumberFormat="0" applyProtection="0">
      <alignment horizontal="right" vertical="center"/>
    </xf>
    <xf numFmtId="4" fontId="36" fillId="39" borderId="14" applyNumberFormat="0" applyProtection="0">
      <alignment horizontal="right" vertical="center"/>
    </xf>
    <xf numFmtId="4" fontId="36" fillId="40" borderId="14" applyNumberFormat="0" applyProtection="0">
      <alignment horizontal="right" vertical="center"/>
    </xf>
    <xf numFmtId="4" fontId="36" fillId="41" borderId="14" applyNumberFormat="0" applyProtection="0">
      <alignment horizontal="right" vertical="center"/>
    </xf>
    <xf numFmtId="4" fontId="38" fillId="42" borderId="14" applyNumberFormat="0" applyProtection="0">
      <alignment horizontal="left" vertical="center" indent="1"/>
    </xf>
    <xf numFmtId="4" fontId="36" fillId="43" borderId="16" applyNumberFormat="0" applyProtection="0">
      <alignment horizontal="left" vertical="center" indent="1"/>
    </xf>
    <xf numFmtId="4" fontId="39" fillId="44" borderId="0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43" borderId="14" applyNumberFormat="0" applyProtection="0">
      <alignment horizontal="left" vertical="center" indent="1"/>
    </xf>
    <xf numFmtId="4" fontId="36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5" borderId="14" applyNumberFormat="0" applyProtection="0">
      <alignment vertical="center"/>
    </xf>
    <xf numFmtId="4" fontId="37" fillId="5" borderId="14" applyNumberFormat="0" applyProtection="0">
      <alignment vertical="center"/>
    </xf>
    <xf numFmtId="4" fontId="36" fillId="5" borderId="14" applyNumberFormat="0" applyProtection="0">
      <alignment horizontal="left" vertical="center" indent="1"/>
    </xf>
    <xf numFmtId="4" fontId="36" fillId="5" borderId="14" applyNumberFormat="0" applyProtection="0">
      <alignment horizontal="left" vertical="center" indent="1"/>
    </xf>
    <xf numFmtId="4" fontId="36" fillId="43" borderId="14" applyNumberFormat="0" applyProtection="0">
      <alignment horizontal="right" vertical="center"/>
    </xf>
    <xf numFmtId="4" fontId="37" fillId="43" borderId="14" applyNumberFormat="0" applyProtection="0">
      <alignment horizontal="right" vertical="center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40" fillId="0" borderId="0"/>
    <xf numFmtId="4" fontId="14" fillId="43" borderId="14" applyNumberFormat="0" applyProtection="0">
      <alignment horizontal="right" vertical="center"/>
    </xf>
    <xf numFmtId="0" fontId="12" fillId="0" borderId="0"/>
    <xf numFmtId="0" fontId="41" fillId="0" borderId="0" applyNumberFormat="0" applyFill="0" applyBorder="0" applyAlignment="0" applyProtection="0"/>
    <xf numFmtId="0" fontId="42" fillId="0" borderId="17" applyNumberFormat="0" applyFill="0" applyAlignment="0" applyProtection="0"/>
    <xf numFmtId="3" fontId="43" fillId="0" borderId="2" applyNumberFormat="0"/>
    <xf numFmtId="0" fontId="44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7" fillId="0" borderId="0"/>
    <xf numFmtId="0" fontId="46" fillId="0" borderId="0"/>
    <xf numFmtId="9" fontId="7" fillId="0" borderId="0" applyFont="0" applyFill="0" applyBorder="0" applyAlignment="0" applyProtection="0"/>
    <xf numFmtId="0" fontId="47" fillId="0" borderId="0" applyNumberFormat="0" applyFont="0" applyFill="0" applyBorder="0" applyAlignment="0" applyProtection="0"/>
    <xf numFmtId="0" fontId="48" fillId="0" borderId="0"/>
    <xf numFmtId="0" fontId="49" fillId="0" borderId="0"/>
    <xf numFmtId="178" fontId="50" fillId="0" borderId="0"/>
    <xf numFmtId="178" fontId="12" fillId="0" borderId="0"/>
    <xf numFmtId="178" fontId="52" fillId="0" borderId="0"/>
    <xf numFmtId="0" fontId="53" fillId="0" borderId="0">
      <alignment horizontal="left"/>
    </xf>
    <xf numFmtId="164" fontId="51" fillId="0" borderId="18" applyFill="0" applyBorder="0" applyProtection="0">
      <alignment horizontal="right" vertical="top"/>
    </xf>
    <xf numFmtId="178" fontId="54" fillId="0" borderId="18">
      <alignment horizontal="left"/>
    </xf>
    <xf numFmtId="0" fontId="53" fillId="0" borderId="18">
      <alignment horizontal="right" wrapText="1"/>
    </xf>
    <xf numFmtId="0" fontId="51" fillId="0" borderId="0" applyFill="0" applyBorder="0">
      <alignment horizontal="left" vertical="top" wrapText="1"/>
    </xf>
    <xf numFmtId="179" fontId="51" fillId="0" borderId="0" applyFill="0" applyBorder="0">
      <alignment horizontal="right" vertical="top"/>
    </xf>
    <xf numFmtId="180" fontId="51" fillId="0" borderId="0" applyFill="0" applyBorder="0">
      <alignment horizontal="right" vertical="top"/>
    </xf>
    <xf numFmtId="49" fontId="51" fillId="0" borderId="0" applyNumberFormat="0" applyFill="0" applyBorder="0" applyProtection="0">
      <alignment horizontal="center" vertical="top"/>
    </xf>
    <xf numFmtId="178" fontId="55" fillId="0" borderId="0">
      <alignment horizontal="left" vertical="top"/>
    </xf>
    <xf numFmtId="0" fontId="56" fillId="0" borderId="0"/>
    <xf numFmtId="0" fontId="7" fillId="0" borderId="0"/>
    <xf numFmtId="0" fontId="57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8" fillId="0" borderId="0"/>
    <xf numFmtId="0" fontId="59" fillId="0" borderId="0"/>
    <xf numFmtId="0" fontId="60" fillId="0" borderId="0"/>
    <xf numFmtId="0" fontId="61" fillId="0" borderId="0"/>
    <xf numFmtId="0" fontId="61" fillId="0" borderId="0"/>
    <xf numFmtId="0" fontId="58" fillId="0" borderId="0"/>
    <xf numFmtId="0" fontId="59" fillId="0" borderId="0"/>
    <xf numFmtId="0" fontId="60" fillId="0" borderId="0"/>
    <xf numFmtId="0" fontId="63" fillId="0" borderId="0" applyNumberFormat="0" applyFill="0" applyBorder="0" applyAlignment="0" applyProtection="0"/>
  </cellStyleXfs>
  <cellXfs count="102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6" fillId="2" borderId="0" xfId="0" applyNumberFormat="1" applyFont="1" applyFill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1" fillId="2" borderId="0" xfId="0" applyNumberFormat="1" applyFont="1" applyFill="1"/>
    <xf numFmtId="171" fontId="1" fillId="2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0" fontId="62" fillId="4" borderId="0" xfId="0" applyFont="1" applyFill="1" applyAlignment="1">
      <alignment horizontal="left"/>
    </xf>
    <xf numFmtId="0" fontId="10" fillId="4" borderId="0" xfId="0" applyFont="1" applyFill="1"/>
    <xf numFmtId="9" fontId="6" fillId="2" borderId="0" xfId="2" applyFont="1" applyFill="1"/>
    <xf numFmtId="166" fontId="10" fillId="2" borderId="0" xfId="0" applyNumberFormat="1" applyFont="1" applyFill="1"/>
    <xf numFmtId="167" fontId="9" fillId="2" borderId="0" xfId="0" applyNumberFormat="1" applyFont="1" applyFill="1"/>
    <xf numFmtId="168" fontId="9" fillId="2" borderId="0" xfId="0" applyNumberFormat="1" applyFont="1" applyFill="1"/>
    <xf numFmtId="0" fontId="11" fillId="2" borderId="0" xfId="165" applyFont="1" applyFill="1"/>
    <xf numFmtId="182" fontId="1" fillId="2" borderId="0" xfId="0" applyNumberFormat="1" applyFont="1" applyFill="1"/>
    <xf numFmtId="166" fontId="1" fillId="47" borderId="0" xfId="0" applyNumberFormat="1" applyFont="1" applyFill="1"/>
    <xf numFmtId="168" fontId="1" fillId="2" borderId="0" xfId="2" applyNumberFormat="1" applyFont="1" applyFill="1" applyAlignment="1">
      <alignment horizontal="right"/>
    </xf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8" fontId="1" fillId="3" borderId="19" xfId="0" applyNumberFormat="1" applyFont="1" applyFill="1" applyBorder="1"/>
    <xf numFmtId="166" fontId="10" fillId="4" borderId="0" xfId="0" applyNumberFormat="1" applyFont="1" applyFill="1"/>
    <xf numFmtId="168" fontId="10" fillId="4" borderId="0" xfId="0" applyNumberFormat="1" applyFont="1" applyFill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64" fillId="3" borderId="20" xfId="0" applyNumberFormat="1" applyFont="1" applyFill="1" applyBorder="1"/>
    <xf numFmtId="167" fontId="6" fillId="2" borderId="0" xfId="0" applyNumberFormat="1" applyFont="1" applyFill="1"/>
    <xf numFmtId="168" fontId="11" fillId="2" borderId="19" xfId="0" applyNumberFormat="1" applyFont="1" applyFill="1" applyBorder="1"/>
    <xf numFmtId="167" fontId="43" fillId="2" borderId="0" xfId="0" applyNumberFormat="1" applyFont="1" applyFill="1"/>
    <xf numFmtId="167" fontId="1" fillId="2" borderId="19" xfId="0" applyNumberFormat="1" applyFont="1" applyFill="1" applyBorder="1"/>
    <xf numFmtId="9" fontId="1" fillId="2" borderId="0" xfId="2" applyFont="1" applyFill="1" applyBorder="1"/>
    <xf numFmtId="9" fontId="1" fillId="3" borderId="0" xfId="2" applyFont="1" applyFill="1" applyBorder="1"/>
    <xf numFmtId="167" fontId="11" fillId="2" borderId="0" xfId="0" applyNumberFormat="1" applyFont="1" applyFill="1"/>
    <xf numFmtId="167" fontId="1" fillId="3" borderId="0" xfId="0" applyNumberFormat="1" applyFont="1" applyFill="1"/>
    <xf numFmtId="167" fontId="65" fillId="2" borderId="0" xfId="0" applyNumberFormat="1" applyFont="1" applyFill="1"/>
    <xf numFmtId="166" fontId="66" fillId="2" borderId="0" xfId="0" applyNumberFormat="1" applyFont="1" applyFill="1"/>
    <xf numFmtId="167" fontId="13" fillId="2" borderId="0" xfId="0" applyNumberFormat="1" applyFont="1" applyFill="1"/>
    <xf numFmtId="181" fontId="9" fillId="2" borderId="0" xfId="3" applyNumberFormat="1" applyFont="1" applyFill="1"/>
    <xf numFmtId="166" fontId="6" fillId="3" borderId="19" xfId="0" applyNumberFormat="1" applyFont="1" applyFill="1" applyBorder="1"/>
    <xf numFmtId="166" fontId="6" fillId="3" borderId="0" xfId="0" applyNumberFormat="1" applyFont="1" applyFill="1"/>
    <xf numFmtId="167" fontId="6" fillId="3" borderId="0" xfId="0" applyNumberFormat="1" applyFont="1" applyFill="1"/>
    <xf numFmtId="169" fontId="67" fillId="4" borderId="0" xfId="2" applyNumberFormat="1" applyFont="1" applyFill="1"/>
    <xf numFmtId="43" fontId="1" fillId="3" borderId="0" xfId="3" applyFont="1" applyFill="1" applyBorder="1"/>
    <xf numFmtId="168" fontId="6" fillId="3" borderId="19" xfId="0" applyNumberFormat="1" applyFont="1" applyFill="1" applyBorder="1"/>
    <xf numFmtId="166" fontId="64" fillId="2" borderId="19" xfId="0" applyNumberFormat="1" applyFont="1" applyFill="1" applyBorder="1"/>
    <xf numFmtId="168" fontId="68" fillId="2" borderId="0" xfId="0" applyNumberFormat="1" applyFont="1" applyFill="1"/>
    <xf numFmtId="9" fontId="64" fillId="2" borderId="2" xfId="2" applyFont="1" applyFill="1" applyBorder="1"/>
    <xf numFmtId="9" fontId="64" fillId="2" borderId="21" xfId="2" applyFont="1" applyFill="1" applyBorder="1"/>
    <xf numFmtId="170" fontId="1" fillId="2" borderId="0" xfId="3" applyNumberFormat="1" applyFont="1" applyFill="1"/>
    <xf numFmtId="170" fontId="1" fillId="3" borderId="0" xfId="3" applyNumberFormat="1" applyFont="1" applyFill="1"/>
    <xf numFmtId="169" fontId="1" fillId="3" borderId="0" xfId="2" applyNumberFormat="1" applyFont="1" applyFill="1"/>
    <xf numFmtId="183" fontId="65" fillId="2" borderId="0" xfId="0" applyNumberFormat="1" applyFont="1" applyFill="1" applyAlignment="1">
      <alignment horizontal="left"/>
    </xf>
    <xf numFmtId="183" fontId="65" fillId="2" borderId="0" xfId="0" applyNumberFormat="1" applyFont="1" applyFill="1"/>
    <xf numFmtId="0" fontId="65" fillId="2" borderId="0" xfId="0" applyFont="1" applyFill="1"/>
    <xf numFmtId="0" fontId="65" fillId="2" borderId="0" xfId="0" applyFont="1" applyFill="1" applyAlignment="1">
      <alignment horizontal="left"/>
    </xf>
    <xf numFmtId="0" fontId="65" fillId="2" borderId="0" xfId="0" applyFont="1" applyFill="1" applyAlignment="1">
      <alignment vertical="top" wrapText="1"/>
    </xf>
    <xf numFmtId="183" fontId="65" fillId="2" borderId="0" xfId="0" applyNumberFormat="1" applyFont="1" applyFill="1" applyAlignment="1">
      <alignment vertical="top" wrapText="1"/>
    </xf>
    <xf numFmtId="0" fontId="65" fillId="2" borderId="0" xfId="0" applyFont="1" applyFill="1" applyAlignment="1">
      <alignment vertical="top"/>
    </xf>
    <xf numFmtId="0" fontId="3" fillId="2" borderId="19" xfId="0" applyFont="1" applyFill="1" applyBorder="1"/>
    <xf numFmtId="170" fontId="3" fillId="2" borderId="19" xfId="3" applyNumberFormat="1" applyFont="1" applyFill="1" applyBorder="1"/>
    <xf numFmtId="170" fontId="3" fillId="3" borderId="19" xfId="3" applyNumberFormat="1" applyFont="1" applyFill="1" applyBorder="1"/>
    <xf numFmtId="0" fontId="6" fillId="2" borderId="4" xfId="0" applyFont="1" applyFill="1" applyBorder="1"/>
    <xf numFmtId="0" fontId="1" fillId="2" borderId="4" xfId="0" applyFont="1" applyFill="1" applyBorder="1"/>
    <xf numFmtId="169" fontId="1" fillId="2" borderId="0" xfId="0" applyNumberFormat="1" applyFont="1" applyFill="1"/>
    <xf numFmtId="166" fontId="6" fillId="2" borderId="2" xfId="0" applyNumberFormat="1" applyFont="1" applyFill="1" applyBorder="1"/>
    <xf numFmtId="166" fontId="6" fillId="2" borderId="2" xfId="0" applyNumberFormat="1" applyFont="1" applyFill="1" applyBorder="1" applyAlignment="1">
      <alignment horizontal="right" wrapText="1"/>
    </xf>
    <xf numFmtId="166" fontId="3" fillId="2" borderId="0" xfId="0" applyNumberFormat="1" applyFont="1" applyFill="1"/>
    <xf numFmtId="184" fontId="1" fillId="2" borderId="0" xfId="0" applyNumberFormat="1" applyFont="1" applyFill="1"/>
    <xf numFmtId="185" fontId="1" fillId="2" borderId="0" xfId="0" applyNumberFormat="1" applyFont="1" applyFill="1"/>
    <xf numFmtId="166" fontId="6" fillId="2" borderId="22" xfId="0" applyNumberFormat="1" applyFont="1" applyFill="1" applyBorder="1"/>
    <xf numFmtId="168" fontId="6" fillId="2" borderId="22" xfId="0" applyNumberFormat="1" applyFont="1" applyFill="1" applyBorder="1"/>
    <xf numFmtId="168" fontId="64" fillId="3" borderId="22" xfId="0" applyNumberFormat="1" applyFont="1" applyFill="1" applyBorder="1"/>
    <xf numFmtId="166" fontId="67" fillId="4" borderId="0" xfId="0" applyNumberFormat="1" applyFont="1" applyFill="1" applyAlignment="1">
      <alignment horizontal="center"/>
    </xf>
    <xf numFmtId="1" fontId="0" fillId="2" borderId="0" xfId="0" applyNumberFormat="1" applyFill="1"/>
    <xf numFmtId="1" fontId="1" fillId="2" borderId="0" xfId="0" applyNumberFormat="1" applyFont="1" applyFill="1"/>
  </cellXfs>
  <cellStyles count="166"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_x0002_._x0011__x0002_._x001b__x0002_ _x0015_%_x0018__x0001_" xfId="5" xr:uid="{00000000-0005-0000-0000-000001000000}"/>
    <cellStyle name="%" xfId="135" xr:uid="{00000000-0005-0000-0000-000000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6" formatCode="_(* #,##0.0_);_(* \(#,##0.0\);_(* &quot;-&quot;?_);@_)"/>
      <fill>
        <patternFill patternType="solid">
          <fgColor indexed="64"/>
          <bgColor theme="0"/>
        </patternFill>
      </fill>
    </dxf>
    <dxf>
      <border outline="0">
        <bottom style="medium">
          <color rgb="FF00206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border outline="0">
        <bottom style="medium">
          <color rgb="FF00206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Arial"/>
        <family val="2"/>
        <scheme val="none"/>
      </font>
      <numFmt numFmtId="166" formatCode="_(* #,##0.0_);_(* \(#,##0.0\);_(* &quot;-&quot;?_);@_)"/>
      <fill>
        <patternFill patternType="solid">
          <fgColor indexed="64"/>
          <bgColor theme="0" tint="-0.14999847407452621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6" formatCode="_(* #,##0.0_);_(* \(#,##0.0\);_(* &quot;-&quot;?_);@_)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Arial"/>
        <family val="2"/>
        <scheme val="none"/>
      </font>
      <numFmt numFmtId="166" formatCode="_(* #,##0.0_);_(* \(#,##0.0\);_(* &quot;-&quot;?_);@_)"/>
      <fill>
        <patternFill patternType="solid">
          <fgColor indexed="64"/>
          <bgColor theme="0" tint="-0.14999847407452621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Arial"/>
        <family val="2"/>
        <scheme val="none"/>
      </font>
      <numFmt numFmtId="166" formatCode="_(* #,##0.0_);_(* \(#,##0.0\);_(* &quot;-&quot;?_);@_)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8" formatCode="_(* #,##0_);_(* \(#,##0\);_(* &quot;-&quot;?_);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6" formatCode="_(* #,##0.0_);_(* \(#,##0.0\);_(* &quot;-&quot;?_);@_)"/>
      <fill>
        <patternFill patternType="solid">
          <fgColor indexed="64"/>
          <bgColor theme="0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Arial"/>
        <family val="2"/>
        <scheme val="none"/>
      </font>
      <numFmt numFmtId="166" formatCode="_(* #,##0.0_);_(* \(#,##0.0\);_(* &quot;-&quot;?_);@_)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'Revenues&amp;Ebitda'!$B$4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3CAE-4FFF-85F4-2ED53741C29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3CAE-4FFF-85F4-2ED53741C29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3CAE-4FFF-85F4-2ED53741C29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3CAE-4FFF-85F4-2ED53741C29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3CAE-4FFF-85F4-2ED53741C29B}"/>
              </c:ext>
            </c:extLst>
          </c:dPt>
          <c:dLbls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sz="700" b="1"/>
                </a:pPr>
                <a:endParaRPr lang="en-A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FY2016 </c:v>
                </c:pt>
                <c:pt idx="1">
                  <c:v>FY2017 </c:v>
                </c:pt>
                <c:pt idx="2">
                  <c:v>FY2018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'Revenues&amp;Ebitda'!$C$4:$K$4</c:f>
              <c:numCache>
                <c:formatCode>_(* #,##0_);_(* \(#,##0\);_(* "-"??_);_(@_)</c:formatCode>
                <c:ptCount val="9"/>
                <c:pt idx="0">
                  <c:v>177203</c:v>
                </c:pt>
                <c:pt idx="1">
                  <c:v>188618</c:v>
                </c:pt>
                <c:pt idx="2">
                  <c:v>208366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AE-4FFF-85F4-2ED53741C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562048"/>
        <c:axId val="104576128"/>
      </c:barChart>
      <c:lineChart>
        <c:grouping val="standard"/>
        <c:varyColors val="0"/>
        <c:ser>
          <c:idx val="1"/>
          <c:order val="1"/>
          <c:tx>
            <c:strRef>
              <c:f>'Revenues&amp;Ebitda'!$B$6</c:f>
              <c:strCache>
                <c:ptCount val="1"/>
                <c:pt idx="0">
                  <c:v>EBITDA%</c:v>
                </c:pt>
              </c:strCache>
            </c:strRef>
          </c:tx>
          <c:marker>
            <c:symbol val="none"/>
          </c:marker>
          <c:dLbls>
            <c:spPr>
              <a:solidFill>
                <a:schemeClr val="accent2">
                  <a:lumMod val="60000"/>
                  <a:lumOff val="40000"/>
                </a:schemeClr>
              </a:solidFill>
            </c:spPr>
            <c:txPr>
              <a:bodyPr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FY2016 </c:v>
                </c:pt>
                <c:pt idx="1">
                  <c:v>FY2017 </c:v>
                </c:pt>
                <c:pt idx="2">
                  <c:v>FY2018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'Revenues&amp;Ebitda'!$C$6:$K$6</c:f>
              <c:numCache>
                <c:formatCode>0.0%</c:formatCode>
                <c:ptCount val="9"/>
                <c:pt idx="0">
                  <c:v>0.11465560590584409</c:v>
                </c:pt>
                <c:pt idx="1">
                  <c:v>0.11247036868167416</c:v>
                </c:pt>
                <c:pt idx="2">
                  <c:v>0.14186994795025576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3CAE-4FFF-85F4-2ED53741C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79840"/>
        <c:axId val="104578048"/>
      </c:lineChart>
      <c:catAx>
        <c:axId val="10456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576128"/>
        <c:crosses val="autoZero"/>
        <c:auto val="1"/>
        <c:lblAlgn val="ctr"/>
        <c:lblOffset val="100"/>
        <c:noMultiLvlLbl val="0"/>
      </c:catAx>
      <c:valAx>
        <c:axId val="104576128"/>
        <c:scaling>
          <c:orientation val="minMax"/>
          <c:max val="50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USD in thousand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</c:spPr>
        <c:crossAx val="104562048"/>
        <c:crosses val="autoZero"/>
        <c:crossBetween val="between"/>
        <c:majorUnit val="100000"/>
      </c:valAx>
      <c:valAx>
        <c:axId val="104578048"/>
        <c:scaling>
          <c:orientation val="minMax"/>
          <c:max val="0.2"/>
          <c:min val="5.000000000000001E-2"/>
        </c:scaling>
        <c:delete val="0"/>
        <c:axPos val="r"/>
        <c:numFmt formatCode="0.0%" sourceLinked="1"/>
        <c:majorTickMark val="out"/>
        <c:minorTickMark val="none"/>
        <c:tickLblPos val="nextTo"/>
        <c:crossAx val="104579840"/>
        <c:crosses val="max"/>
        <c:crossBetween val="between"/>
        <c:majorUnit val="5.000000000000001E-2"/>
      </c:valAx>
      <c:catAx>
        <c:axId val="10457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78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'Cash flows'!$B$4</c:f>
              <c:strCache>
                <c:ptCount val="1"/>
                <c:pt idx="0">
                  <c:v>UFCF </c:v>
                </c:pt>
              </c:strCache>
            </c:strRef>
          </c:tx>
          <c:spPr>
            <a:solidFill>
              <a:srgbClr val="002060"/>
            </a:solidFill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flows'!$C$4:$G$4</c:f>
              <c:numCache>
                <c:formatCode>_(* #,##0_);_(* \(#,##0\);_(* "-"?_);@_)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D0-4DDA-A92E-21FF85D8614B}"/>
            </c:ext>
          </c:extLst>
        </c:ser>
        <c:ser>
          <c:idx val="1"/>
          <c:order val="1"/>
          <c:tx>
            <c:strRef>
              <c:f>'Cash flows'!$B$5</c:f>
              <c:strCache>
                <c:ptCount val="1"/>
                <c:pt idx="0">
                  <c:v>Present value of UFCF 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flows'!$C$5:$G$5</c:f>
              <c:numCache>
                <c:formatCode>_(* #,##0_);_(* \(#,##0\);_(* "-"?_);@_)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D0-4DDA-A92E-21FF85D86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45920"/>
        <c:axId val="104972288"/>
      </c:areaChart>
      <c:catAx>
        <c:axId val="104945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972288"/>
        <c:crosses val="autoZero"/>
        <c:auto val="1"/>
        <c:lblAlgn val="ctr"/>
        <c:lblOffset val="100"/>
        <c:noMultiLvlLbl val="0"/>
      </c:catAx>
      <c:valAx>
        <c:axId val="104972288"/>
        <c:scaling>
          <c:orientation val="minMax"/>
          <c:max val="4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8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</a:t>
                </a:r>
                <a:r>
                  <a:rPr lang="en-US" b="0" baseline="0"/>
                  <a:t> thousand</a:t>
                </a:r>
                <a:endParaRPr lang="en-US" b="0"/>
              </a:p>
            </c:rich>
          </c:tx>
          <c:overlay val="0"/>
        </c:title>
        <c:numFmt formatCode="_(* #,##0_);_(* \(#,##0\);_(* &quot;-&quot;?_);@_)" sourceLinked="1"/>
        <c:majorTickMark val="out"/>
        <c:minorTickMark val="none"/>
        <c:tickLblPos val="nextTo"/>
        <c:crossAx val="104945920"/>
        <c:crosses val="autoZero"/>
        <c:crossBetween val="midCat"/>
        <c:majorUnit val="10000"/>
      </c:val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B8F-4FFE-9850-223D164221F9}"/>
              </c:ext>
            </c:extLst>
          </c:dPt>
          <c:dPt>
            <c:idx val="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2B8F-4FFE-9850-223D164221F9}"/>
              </c:ext>
            </c:extLst>
          </c:dPt>
          <c:dPt>
            <c:idx val="2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2B8F-4FFE-9850-223D164221F9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2B8F-4FFE-9850-223D164221F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8F-4FFE-9850-223D164221F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FY18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FY19</c:v>
                </c:pt>
              </c:strCache>
            </c:strRef>
          </c:cat>
          <c:val>
            <c:numRef>
              <c:f>'Ebitda bridge'!$K$2:$O$2</c:f>
              <c:numCache>
                <c:formatCode>0.0</c:formatCode>
                <c:ptCount val="5"/>
                <c:pt idx="0">
                  <c:v>29560.873574602992</c:v>
                </c:pt>
                <c:pt idx="1">
                  <c:v>29560.873574602992</c:v>
                </c:pt>
                <c:pt idx="2">
                  <c:v>-21282.008000000002</c:v>
                </c:pt>
                <c:pt idx="3">
                  <c:v>-21282.008000000002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8F-4FFE-9850-223D164221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A-2B8F-4FFE-9850-223D164221F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2B8F-4FFE-9850-223D164221F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E-2B8F-4FFE-9850-223D164221F9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10-2B8F-4FFE-9850-223D164221F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B8F-4FFE-9850-223D164221F9}"/>
                </c:ext>
              </c:extLst>
            </c:dLbl>
            <c:dLbl>
              <c:idx val="3"/>
              <c:layout>
                <c:manualLayout>
                  <c:x val="-1.7137960582690661E-3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947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B8F-4FFE-9850-223D164221F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FY18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FY19</c:v>
                </c:pt>
              </c:strCache>
            </c:strRef>
          </c:cat>
          <c:val>
            <c:numRef>
              <c:f>'Ebitda bridge'!$K$3:$O$3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-208366</c:v>
                </c:pt>
                <c:pt idx="2">
                  <c:v>-157523.118425397</c:v>
                </c:pt>
                <c:pt idx="3">
                  <c:v>23867.008000000009</c:v>
                </c:pt>
                <c:pt idx="4">
                  <c:v>2585.0000000000073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B8F-4FFE-9850-223D164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909056"/>
        <c:axId val="104921728"/>
      </c:barChart>
      <c:catAx>
        <c:axId val="10490905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ln>
            <a:noFill/>
          </a:ln>
        </c:spPr>
        <c:crossAx val="104921728"/>
        <c:crosses val="autoZero"/>
        <c:auto val="1"/>
        <c:lblAlgn val="ctr"/>
        <c:lblOffset val="100"/>
        <c:noMultiLvlLbl val="0"/>
      </c:catAx>
      <c:valAx>
        <c:axId val="1049217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4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0490905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>
                <a:solidFill>
                  <a:srgbClr val="002060"/>
                </a:solidFill>
              </a:rPr>
              <a:t>FY11-FY18:</a:t>
            </a:r>
            <a:r>
              <a:rPr lang="en-US" b="1" baseline="0">
                <a:solidFill>
                  <a:srgbClr val="002060"/>
                </a:solidFill>
              </a:rPr>
              <a:t> </a:t>
            </a:r>
            <a:r>
              <a:rPr lang="en-US" b="1">
                <a:solidFill>
                  <a:srgbClr val="002060"/>
                </a:solidFill>
              </a:rPr>
              <a:t>Working</a:t>
            </a:r>
            <a:r>
              <a:rPr lang="en-US" b="1" baseline="0">
                <a:solidFill>
                  <a:srgbClr val="002060"/>
                </a:solidFill>
              </a:rPr>
              <a:t> capital development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0693830557425685E-2"/>
          <c:y val="2.3937766331211228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val>
            <c:numRef>
              <c:f>'Working capital'!$C$7:$K$7</c:f>
              <c:numCache>
                <c:formatCode>_(* #,##0_);_(* \(#,##0\);_(* "-"??_);_(@_)</c:formatCode>
                <c:ptCount val="9"/>
                <c:pt idx="0">
                  <c:v>48159.600000000006</c:v>
                </c:pt>
                <c:pt idx="1">
                  <c:v>48601.200000000004</c:v>
                </c:pt>
                <c:pt idx="2">
                  <c:v>53604.000000000007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5-440E-BA3F-9412B61A2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45088"/>
        <c:axId val="105142912"/>
      </c:areaChart>
      <c:barChart>
        <c:barDir val="col"/>
        <c:grouping val="clustered"/>
        <c:varyColors val="0"/>
        <c:ser>
          <c:idx val="0"/>
          <c:order val="0"/>
          <c:tx>
            <c:strRef>
              <c:f>'Working capital'!$B$9</c:f>
              <c:strCache>
                <c:ptCount val="1"/>
                <c:pt idx="0">
                  <c:v>DSO 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capital'!$C$9:$K$9</c:f>
              <c:numCache>
                <c:formatCode>_(* #,##0_);_(* \(#,##0\);_(*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5-440E-BA3F-9412B61A2863}"/>
            </c:ext>
          </c:extLst>
        </c:ser>
        <c:ser>
          <c:idx val="1"/>
          <c:order val="1"/>
          <c:tx>
            <c:strRef>
              <c:f>'Working capital'!$B$10</c:f>
              <c:strCache>
                <c:ptCount val="1"/>
                <c:pt idx="0">
                  <c:v>DIO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capital'!$C$10:$K$10</c:f>
              <c:numCache>
                <c:formatCode>_(* #,##0_);_(* \(#,##0\);_(*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25-440E-BA3F-9412B61A2863}"/>
            </c:ext>
          </c:extLst>
        </c:ser>
        <c:ser>
          <c:idx val="2"/>
          <c:order val="2"/>
          <c:tx>
            <c:strRef>
              <c:f>'Working capital'!$B$11</c:f>
              <c:strCache>
                <c:ptCount val="1"/>
                <c:pt idx="0">
                  <c:v>DPO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capital'!$C$11:$K$11</c:f>
              <c:numCache>
                <c:formatCode>_(* #,##0_);_(* \(#,##0\);_(*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5-440E-BA3F-9412B61A2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05126912"/>
        <c:axId val="105140992"/>
      </c:barChart>
      <c:catAx>
        <c:axId val="105126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140992"/>
        <c:crosses val="autoZero"/>
        <c:auto val="1"/>
        <c:lblAlgn val="ctr"/>
        <c:lblOffset val="100"/>
        <c:noMultiLvlLbl val="0"/>
      </c:catAx>
      <c:valAx>
        <c:axId val="105140992"/>
        <c:scaling>
          <c:orientation val="minMax"/>
          <c:max val="150"/>
          <c:min val="3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4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days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26912"/>
        <c:crosses val="autoZero"/>
        <c:crossBetween val="between"/>
        <c:majorUnit val="30"/>
      </c:valAx>
      <c:valAx>
        <c:axId val="105142912"/>
        <c:scaling>
          <c:orientation val="minMax"/>
          <c:min val="3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 thousands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45088"/>
        <c:crosses val="max"/>
        <c:crossBetween val="between"/>
        <c:majorUnit val="10000"/>
      </c:valAx>
      <c:catAx>
        <c:axId val="105145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5142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1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A914-4F65-ABCD-DA1E7546D821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14-4F65-ABCD-DA1E7546D821}"/>
                </c:ext>
              </c:extLst>
            </c:dLbl>
            <c:dLbl>
              <c:idx val="1"/>
              <c:layout>
                <c:manualLayout>
                  <c:x val="3.9170181466448663E-2"/>
                  <c:y val="3.84168932981944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14-4F65-ABCD-DA1E7546D82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results'!$C$6:$C$7</c:f>
              <c:numCache>
                <c:formatCode>General</c:formatCode>
                <c:ptCount val="2"/>
                <c:pt idx="0">
                  <c:v>0.30085866160702229</c:v>
                </c:pt>
                <c:pt idx="1">
                  <c:v>0.69914133839297776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14-4F65-ABCD-DA1E7546D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64373676235707755"/>
          <c:y val="0.36810746454991944"/>
          <c:w val="0.3322392211930919"/>
          <c:h val="0.26378507090016112"/>
        </c:manualLayout>
      </c:layout>
      <c:overlay val="0"/>
      <c:txPr>
        <a:bodyPr/>
        <a:lstStyle/>
        <a:p>
          <a:pPr rtl="0">
            <a:defRPr/>
          </a:pPr>
          <a:endParaRPr lang="en-AE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2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95D8-4672-958D-DAA82E878415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D8-4672-958D-DAA82E878415}"/>
                </c:ext>
              </c:extLst>
            </c:dLbl>
            <c:dLbl>
              <c:idx val="1"/>
              <c:layout>
                <c:manualLayout>
                  <c:x val="3.3426183844011144E-2"/>
                  <c:y val="3.284973584495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D8-4672-958D-DAA82E8784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results'!$H$6:$H$7</c:f>
              <c:numCache>
                <c:formatCode>General</c:formatCode>
                <c:ptCount val="2"/>
                <c:pt idx="0">
                  <c:v>0.31591165336933186</c:v>
                </c:pt>
                <c:pt idx="1">
                  <c:v>0.6840883466306682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D8-4672-958D-DAA82E878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AE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3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4344-456C-8761-E3EBEC8EA847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44-456C-8761-E3EBEC8EA847}"/>
                </c:ext>
              </c:extLst>
            </c:dLbl>
            <c:dLbl>
              <c:idx val="1"/>
              <c:layout>
                <c:manualLayout>
                  <c:x val="4.456824512534819E-2"/>
                  <c:y val="6.62526805643957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44-456C-8761-E3EBEC8EA847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results'!$M$6:$M$7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results'!$N$6:$N$7</c:f>
              <c:numCache>
                <c:formatCode>General</c:formatCode>
                <c:ptCount val="2"/>
                <c:pt idx="0">
                  <c:v>0.33470503116615574</c:v>
                </c:pt>
                <c:pt idx="1">
                  <c:v>0.6652949688338442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44-456C-8761-E3EBEC8EA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AE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17584</xdr:colOff>
      <xdr:row>18</xdr:row>
      <xdr:rowOff>111370</xdr:rowOff>
    </xdr:from>
    <xdr:to>
      <xdr:col>9</xdr:col>
      <xdr:colOff>603738</xdr:colOff>
      <xdr:row>19</xdr:row>
      <xdr:rowOff>128954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9A98459-A6BF-49AC-B8EA-546E8FA698E0}"/>
            </a:ext>
          </a:extLst>
        </xdr:cNvPr>
        <xdr:cNvSpPr txBox="1"/>
      </xdr:nvSpPr>
      <xdr:spPr>
        <a:xfrm>
          <a:off x="4630615" y="2913185"/>
          <a:ext cx="2467708" cy="16412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5</xdr:col>
      <xdr:colOff>193430</xdr:colOff>
      <xdr:row>21</xdr:row>
      <xdr:rowOff>5862</xdr:rowOff>
    </xdr:from>
    <xdr:to>
      <xdr:col>5</xdr:col>
      <xdr:colOff>445477</xdr:colOff>
      <xdr:row>24</xdr:row>
      <xdr:rowOff>134815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777B133-5DF8-4758-B581-77EEF7E68AE9}"/>
            </a:ext>
          </a:extLst>
        </xdr:cNvPr>
        <xdr:cNvSpPr txBox="1"/>
      </xdr:nvSpPr>
      <xdr:spPr>
        <a:xfrm>
          <a:off x="4120661" y="3253154"/>
          <a:ext cx="252047" cy="58615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47625</xdr:rowOff>
    </xdr:from>
    <xdr:to>
      <xdr:col>13</xdr:col>
      <xdr:colOff>133350</xdr:colOff>
      <xdr:row>25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5661BE-E293-4A43-AE52-5190EFF3C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0.49319</cdr:x>
      <cdr:y>0.11574</cdr:y>
    </cdr:from>
    <cdr:to>
      <cdr:x>0.92949</cdr:x>
      <cdr:y>0.18519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3908425" y="317500"/>
          <a:ext cx="3457575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0.1242</cdr:x>
      <cdr:y>0.11574</cdr:y>
    </cdr:from>
    <cdr:to>
      <cdr:x>0.38141</cdr:x>
      <cdr:y>0.18866</cdr:y>
    </cdr:to>
    <cdr:sp macro="" textlink="">
      <cdr:nvSpPr>
        <cdr:cNvPr id="5" name="TextBox 3"/>
        <cdr:cNvSpPr txBox="1"/>
      </cdr:nvSpPr>
      <cdr:spPr>
        <a:xfrm xmlns:a="http://schemas.openxmlformats.org/drawingml/2006/main">
          <a:off x="984250" y="317500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114300</xdr:rowOff>
    </xdr:from>
    <xdr:to>
      <xdr:col>11</xdr:col>
      <xdr:colOff>533400</xdr:colOff>
      <xdr:row>25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F3DA06-A94B-4687-8875-9A98CF5B9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0</xdr:rowOff>
    </xdr:from>
    <xdr:to>
      <xdr:col>13</xdr:col>
      <xdr:colOff>161925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93B6A4-3BA7-4E50-81C1-C6F39068F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12</xdr:row>
      <xdr:rowOff>66675</xdr:rowOff>
    </xdr:from>
    <xdr:to>
      <xdr:col>12</xdr:col>
      <xdr:colOff>390525</xdr:colOff>
      <xdr:row>28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BDAC05-9148-4C03-885C-AD74663A4D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0.46014</cdr:x>
      <cdr:y>0.11969</cdr:y>
    </cdr:from>
    <cdr:to>
      <cdr:x>0.88972</cdr:x>
      <cdr:y>0.19552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3317805" y="301542"/>
          <a:ext cx="3097454" cy="19104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0.08839</cdr:x>
      <cdr:y>0.11969</cdr:y>
    </cdr:from>
    <cdr:to>
      <cdr:x>0.35357</cdr:x>
      <cdr:y>0.19509</cdr:y>
    </cdr:to>
    <cdr:sp macro="" textlink="">
      <cdr:nvSpPr>
        <cdr:cNvPr id="3" name="TextBox 3"/>
        <cdr:cNvSpPr txBox="1"/>
      </cdr:nvSpPr>
      <cdr:spPr>
        <a:xfrm xmlns:a="http://schemas.openxmlformats.org/drawingml/2006/main">
          <a:off x="679450" y="317499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95250</xdr:rowOff>
    </xdr:from>
    <xdr:to>
      <xdr:col>5</xdr:col>
      <xdr:colOff>104776</xdr:colOff>
      <xdr:row>23</xdr:row>
      <xdr:rowOff>90486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FA8248-E5CA-4BB8-8697-7EC26209A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104776</xdr:colOff>
      <xdr:row>8</xdr:row>
      <xdr:rowOff>95250</xdr:rowOff>
    </xdr:from>
    <xdr:to>
      <xdr:col>10</xdr:col>
      <xdr:colOff>419101</xdr:colOff>
      <xdr:row>23</xdr:row>
      <xdr:rowOff>90486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A8C7C0-2D36-4B0D-BB55-F6B87ABB8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104776</xdr:colOff>
      <xdr:row>8</xdr:row>
      <xdr:rowOff>95250</xdr:rowOff>
    </xdr:from>
    <xdr:to>
      <xdr:col>16</xdr:col>
      <xdr:colOff>419101</xdr:colOff>
      <xdr:row>23</xdr:row>
      <xdr:rowOff>90486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FD23076-9511-4300-A6E8-71482B8E3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$208.4m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$134.7m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$101</a:t>
          </a:r>
          <a:r>
            <a:rPr lang="en-US" sz="900" b="1" baseline="0">
              <a:latin typeface="Arial" pitchFamily="34" charset="0"/>
              <a:cs typeface="Arial" pitchFamily="34" charset="0"/>
            </a:rPr>
            <a:t> </a:t>
          </a:r>
          <a:r>
            <a:rPr lang="en-US" sz="900" b="1">
              <a:latin typeface="Arial" pitchFamily="34" charset="0"/>
              <a:cs typeface="Arial" pitchFamily="34" charset="0"/>
            </a:rPr>
            <a:t>.2m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New/Desktop/Courses/Video%20creating/Excel/4)%20DCF%20Valuation/DCF%20Valu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1.Input --&gt;"/>
      <sheetName val="P&amp;L assumptions"/>
      <sheetName val="BS assumptions"/>
      <sheetName val="2. Output --&gt;"/>
      <sheetName val="P&amp;L"/>
      <sheetName val="BS"/>
      <sheetName val="Cash Flow"/>
      <sheetName val="DCF valuation"/>
      <sheetName val="3.Charts --&gt;"/>
      <sheetName val="Revenues&amp;Ebitda"/>
      <sheetName val="Cash flows"/>
      <sheetName val="Ebitda bridge"/>
      <sheetName val="Working capital"/>
      <sheetName val="DCF results"/>
      <sheetName val="Sources --&gt;"/>
      <sheetName val="P&amp;L source"/>
      <sheetName val="BS 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K4" t="str">
            <v>EBITDA FY13</v>
          </cell>
        </row>
      </sheetData>
      <sheetData sheetId="13">
        <row r="3">
          <cell r="C3" t="str">
            <v>FY11
Actual</v>
          </cell>
        </row>
      </sheetData>
      <sheetData sheetId="14">
        <row r="6">
          <cell r="B6" t="str">
            <v>CFs in Forecast period</v>
          </cell>
          <cell r="C6">
            <v>0.30085866160702229</v>
          </cell>
          <cell r="G6" t="str">
            <v>CFs in Forecast period</v>
          </cell>
          <cell r="H6">
            <v>0.31591165336933186</v>
          </cell>
          <cell r="M6" t="str">
            <v>CFs in Forecast period</v>
          </cell>
          <cell r="N6">
            <v>0.33470503116615574</v>
          </cell>
        </row>
        <row r="7">
          <cell r="B7" t="str">
            <v>Continuing Value</v>
          </cell>
          <cell r="C7">
            <v>0.69914133839297776</v>
          </cell>
          <cell r="G7" t="str">
            <v>Continuing Value</v>
          </cell>
          <cell r="H7">
            <v>0.6840883466306682</v>
          </cell>
          <cell r="M7" t="str">
            <v>Continuing Value</v>
          </cell>
          <cell r="N7">
            <v>0.6652949688338442</v>
          </cell>
        </row>
      </sheetData>
      <sheetData sheetId="15"/>
      <sheetData sheetId="16"/>
      <sheetData sheetId="1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B5AA51-205D-B842-A113-20552E68780C}" name="IS" displayName="IS" ref="B3:E30" totalsRowShown="0" headerRowDxfId="33" dataDxfId="31" headerRowBorderDxfId="32" tableBorderDxfId="30">
  <autoFilter ref="B3:E30" xr:uid="{4FB5AA51-205D-B842-A113-20552E68780C}"/>
  <tableColumns count="4">
    <tableColumn id="1" xr3:uid="{A27D99C4-CA64-FA48-AA28-915AE8E64C65}" name="Titles" dataDxfId="29"/>
    <tableColumn id="3" xr3:uid="{E6953A9B-4091-4E43-8ECB-DF609716BB04}" name="FY2016" dataDxfId="28"/>
    <tableColumn id="4" xr3:uid="{BFB3E187-A1B4-0240-94FF-FD09F48C09FB}" name="FY2017" dataDxfId="27"/>
    <tableColumn id="5" xr3:uid="{D3278A71-A35D-394C-A2DB-D80D38BF3661}" name="FY2018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681D79-9745-4143-BCDC-5BB452742001}" name="BS" displayName="BS" ref="B3:E32" totalsRowShown="0" headerRowDxfId="25" dataDxfId="23" headerRowBorderDxfId="24" tableBorderDxfId="22">
  <autoFilter ref="B3:E32" xr:uid="{17681D79-9745-4143-BCDC-5BB452742001}"/>
  <tableColumns count="4">
    <tableColumn id="1" xr3:uid="{AE059B02-094F-2041-A5C2-BB5BA3AA1F83}" name="Titles" dataDxfId="21"/>
    <tableColumn id="3" xr3:uid="{C4F745D2-0D04-BA44-A48A-188E5DDAC424}" name="31Dec16_x000a_Actual" dataDxfId="20"/>
    <tableColumn id="4" xr3:uid="{A881F5F6-A420-D540-BD3F-4F3647D6CBF3}" name="31Dec17_x000a_Actual" dataDxfId="19"/>
    <tableColumn id="5" xr3:uid="{1CC34B7B-B7FF-1B46-B818-1B934B0E1318}" name="31Dec18_x000a_Actual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974712-2B71-DB46-A418-AB283819BD24}" name="ISNEW" displayName="ISNEW" ref="B3:J19" totalsRowShown="0" headerRowDxfId="17">
  <autoFilter ref="B3:J19" xr:uid="{ED974712-2B71-DB46-A418-AB283819BD24}"/>
  <tableColumns count="9">
    <tableColumn id="1" xr3:uid="{CF440914-3357-CA47-B096-896160B0303E}" name="Titles" dataDxfId="16"/>
    <tableColumn id="2" xr3:uid="{A00C1FC1-0DEC-4343-A1BC-8BEDB3083581}" name="FY2016" dataDxfId="15"/>
    <tableColumn id="3" xr3:uid="{D79D057E-53B7-4142-8FD7-845BB277687A}" name="FY2017" dataDxfId="14"/>
    <tableColumn id="4" xr3:uid="{23956C48-177C-0E40-A04C-8146CC916C8B}" name="FY2018" dataDxfId="13"/>
    <tableColumn id="6" xr3:uid="{4507B2AC-C9F2-4344-9869-BDB7835B7AD4}" name="FY19_x000a_Forecast"/>
    <tableColumn id="7" xr3:uid="{B3B123F5-5F31-5A44-87A2-92D513DFFFBF}" name="FY20_x000a_Forecast"/>
    <tableColumn id="8" xr3:uid="{9EBB2F86-68E1-9F45-8A51-097CDACA390B}" name="FY21_x000a_Forecast"/>
    <tableColumn id="9" xr3:uid="{F32C30F2-E794-7A47-81A8-F94918CE9C0D}" name="FY22_x000a_Forecast"/>
    <tableColumn id="10" xr3:uid="{F7B40D31-7773-D446-9A61-55B7857146DA}" name="FY23_x000a_Forecas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4D9089-0B66-5F41-AE3B-0C3E9CE60C02}" name="BSNEW" displayName="BSNEW" ref="B3:J17" totalsRowShown="0" headerRowDxfId="12" dataDxfId="10" headerRowBorderDxfId="11" tableBorderDxfId="9">
  <autoFilter ref="B3:J17" xr:uid="{F04D9089-0B66-5F41-AE3B-0C3E9CE60C02}"/>
  <tableColumns count="9">
    <tableColumn id="1" xr3:uid="{A9EB0B59-AB74-074F-B5FE-2103FD15BC42}" name="Titles" dataDxfId="8"/>
    <tableColumn id="2" xr3:uid="{841FF83B-68F2-7142-BF8B-769436747950}" name="31Dec16_x000a_Actual" dataDxfId="7"/>
    <tableColumn id="3" xr3:uid="{4288A119-777E-4A4A-B7E8-3E72A9E26EF5}" name="31Dec17_x000a_Actual" dataDxfId="6"/>
    <tableColumn id="4" xr3:uid="{31D2109E-2047-5C4E-8DDB-54DD743DE019}" name="31Dec18_x000a_Actual" dataDxfId="5"/>
    <tableColumn id="5" xr3:uid="{32EAA800-923D-CF4B-9006-4C19C73EAAE7}" name="31Dec19_x000a_Forecast" dataDxfId="4"/>
    <tableColumn id="6" xr3:uid="{3D22A1FF-F948-E24F-9B58-3BF4FACF6D7E}" name="31Dec20_x000a_Forecast" dataDxfId="3"/>
    <tableColumn id="7" xr3:uid="{1C55269C-EE38-374C-9253-6EC6806B1C58}" name="31Dec21_x000a_Forecast" dataDxfId="2"/>
    <tableColumn id="8" xr3:uid="{4783895D-3D40-BA4F-B212-030F68BA9AA2}" name="31Dec22_x000a_Forecast" dataDxfId="1"/>
    <tableColumn id="9" xr3:uid="{E18940B4-2D5F-0642-9970-0109C60A5C41}" name="31Dec23_x000a_Forecas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zoomScale="130" zoomScaleNormal="13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21" sqref="B21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16384" width="9.1640625" style="1"/>
  </cols>
  <sheetData>
    <row r="1" spans="2:3" ht="16">
      <c r="B1" s="2" t="s">
        <v>4</v>
      </c>
    </row>
    <row r="2" spans="2:3">
      <c r="B2" s="5" t="s">
        <v>5</v>
      </c>
    </row>
    <row r="4" spans="2:3" ht="14" thickBot="1">
      <c r="B4" s="4" t="s">
        <v>2</v>
      </c>
      <c r="C4" s="4" t="s">
        <v>3</v>
      </c>
    </row>
    <row r="5" spans="2:3">
      <c r="B5" s="35">
        <v>1</v>
      </c>
      <c r="C5" s="36" t="s">
        <v>55</v>
      </c>
    </row>
    <row r="6" spans="2:3">
      <c r="B6" s="25">
        <f>B5+1</f>
        <v>2</v>
      </c>
      <c r="C6" s="41" t="s">
        <v>1</v>
      </c>
    </row>
    <row r="7" spans="2:3">
      <c r="B7" s="25">
        <f>B6+1</f>
        <v>3</v>
      </c>
      <c r="C7" s="41" t="s">
        <v>0</v>
      </c>
    </row>
    <row r="8" spans="2:3">
      <c r="B8" s="35">
        <v>4</v>
      </c>
      <c r="C8" s="36" t="s">
        <v>49</v>
      </c>
    </row>
    <row r="9" spans="2:3">
      <c r="B9" s="25">
        <f>B8+1</f>
        <v>5</v>
      </c>
      <c r="C9" s="41" t="s">
        <v>20</v>
      </c>
    </row>
    <row r="10" spans="2:3">
      <c r="B10" s="25">
        <f t="shared" ref="B10:B21" si="0">B9+1</f>
        <v>6</v>
      </c>
      <c r="C10" s="41" t="s">
        <v>21</v>
      </c>
    </row>
    <row r="11" spans="2:3">
      <c r="B11" s="35">
        <f t="shared" si="0"/>
        <v>7</v>
      </c>
      <c r="C11" s="36" t="s">
        <v>50</v>
      </c>
    </row>
    <row r="12" spans="2:3">
      <c r="B12" s="25">
        <f t="shared" si="0"/>
        <v>8</v>
      </c>
      <c r="C12" s="41" t="s">
        <v>6</v>
      </c>
    </row>
    <row r="13" spans="2:3">
      <c r="B13" s="25">
        <f t="shared" si="0"/>
        <v>9</v>
      </c>
      <c r="C13" s="41" t="s">
        <v>19</v>
      </c>
    </row>
    <row r="14" spans="2:3">
      <c r="B14" s="25">
        <f t="shared" si="0"/>
        <v>10</v>
      </c>
      <c r="C14" s="41" t="s">
        <v>22</v>
      </c>
    </row>
    <row r="15" spans="2:3">
      <c r="B15" s="25">
        <f t="shared" si="0"/>
        <v>11</v>
      </c>
      <c r="C15" s="41" t="s">
        <v>44</v>
      </c>
    </row>
    <row r="16" spans="2:3">
      <c r="B16" s="35">
        <f t="shared" si="0"/>
        <v>12</v>
      </c>
      <c r="C16" s="36" t="s">
        <v>56</v>
      </c>
    </row>
    <row r="17" spans="2:3">
      <c r="B17" s="25">
        <f t="shared" si="0"/>
        <v>13</v>
      </c>
      <c r="C17" s="41" t="s">
        <v>51</v>
      </c>
    </row>
    <row r="18" spans="2:3">
      <c r="B18" s="25">
        <f t="shared" si="0"/>
        <v>14</v>
      </c>
      <c r="C18" s="41" t="s">
        <v>48</v>
      </c>
    </row>
    <row r="19" spans="2:3">
      <c r="B19" s="25">
        <f t="shared" si="0"/>
        <v>15</v>
      </c>
      <c r="C19" s="41" t="s">
        <v>52</v>
      </c>
    </row>
    <row r="20" spans="2:3">
      <c r="B20" s="25">
        <f t="shared" si="0"/>
        <v>16</v>
      </c>
      <c r="C20" s="41" t="s">
        <v>53</v>
      </c>
    </row>
    <row r="21" spans="2:3">
      <c r="B21" s="25">
        <f t="shared" si="0"/>
        <v>17</v>
      </c>
      <c r="C21" s="41" t="s">
        <v>54</v>
      </c>
    </row>
  </sheetData>
  <hyperlinks>
    <hyperlink ref="C9" location="'P&amp;L assumptions'!A1" display="P&amp;L assumptions" xr:uid="{00000000-0004-0000-0000-000000000000}"/>
    <hyperlink ref="C10" location="'BS assumptions'!A1" display="BS assumptions" xr:uid="{00000000-0004-0000-0000-000001000000}"/>
    <hyperlink ref="C12" location="'P&amp;L'!A1" display="P&amp;L" xr:uid="{00000000-0004-0000-0000-000002000000}"/>
    <hyperlink ref="C13" location="BS!A1" display="BS" xr:uid="{00000000-0004-0000-0000-000003000000}"/>
    <hyperlink ref="C14" location="'Cash Flow'!A1" display="Cash Flow" xr:uid="{00000000-0004-0000-0000-000004000000}"/>
    <hyperlink ref="C15" location="'DCF valuation'!A1" display="DCF valuation" xr:uid="{00000000-0004-0000-0000-000005000000}"/>
    <hyperlink ref="C17" location="'Revenues&amp;Ebitda'!A1" display="Revenue&amp;Ebitda" xr:uid="{00000000-0004-0000-0000-000006000000}"/>
    <hyperlink ref="C18" location="'Cash flows'!A1" display="Cash flows" xr:uid="{00000000-0004-0000-0000-000007000000}"/>
    <hyperlink ref="C19" location="'Ebitda bridge'!A1" display="Ebitda bridge" xr:uid="{00000000-0004-0000-0000-000008000000}"/>
    <hyperlink ref="C20" location="'Working capital'!A1" display="Working capital" xr:uid="{00000000-0004-0000-0000-000009000000}"/>
    <hyperlink ref="C21" location="'DCF results'!A1" display="DCF results" xr:uid="{00000000-0004-0000-0000-00000A000000}"/>
    <hyperlink ref="C6" location="'P&amp;L source'!A1" display="P&amp;L source" xr:uid="{00000000-0004-0000-0000-00000B000000}"/>
    <hyperlink ref="C7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zoomScale="130" zoomScaleNormal="130" workbookViewId="0">
      <selection activeCell="B12" sqref="B12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152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L30"/>
  <sheetViews>
    <sheetView tabSelected="1" zoomScale="130" zoomScaleNormal="130" workbookViewId="0">
      <selection activeCell="B13" sqref="B13"/>
    </sheetView>
  </sheetViews>
  <sheetFormatPr baseColWidth="10" defaultColWidth="9.1640625" defaultRowHeight="12"/>
  <cols>
    <col min="1" max="1" width="2" style="7" customWidth="1"/>
    <col min="2" max="2" width="27.83203125" style="7" bestFit="1" customWidth="1"/>
    <col min="3" max="3" width="10.5" style="7" customWidth="1"/>
    <col min="4" max="5" width="10.5" style="7" bestFit="1" customWidth="1"/>
    <col min="6" max="16384" width="9.1640625" style="7"/>
  </cols>
  <sheetData>
    <row r="1" spans="2:12" ht="16">
      <c r="B1" s="6" t="s">
        <v>1</v>
      </c>
    </row>
    <row r="3" spans="2:12" ht="13">
      <c r="B3" s="91" t="s">
        <v>156</v>
      </c>
      <c r="C3" s="92" t="s">
        <v>153</v>
      </c>
      <c r="D3" s="92" t="s">
        <v>154</v>
      </c>
      <c r="E3" s="92" t="s">
        <v>155</v>
      </c>
    </row>
    <row r="4" spans="2:12">
      <c r="B4" s="7" t="s">
        <v>58</v>
      </c>
      <c r="C4" s="11">
        <v>177203</v>
      </c>
      <c r="D4" s="11">
        <v>188618</v>
      </c>
      <c r="E4" s="11">
        <v>208366</v>
      </c>
    </row>
    <row r="5" spans="2:12">
      <c r="B5" s="7" t="s">
        <v>84</v>
      </c>
      <c r="C5" s="11">
        <v>3520</v>
      </c>
      <c r="D5" s="11">
        <v>2416</v>
      </c>
      <c r="E5" s="11">
        <v>2585</v>
      </c>
      <c r="I5" s="42"/>
      <c r="J5" s="42"/>
      <c r="K5" s="42"/>
      <c r="L5" s="42"/>
    </row>
    <row r="6" spans="2:12">
      <c r="B6" s="28" t="s">
        <v>7</v>
      </c>
      <c r="C6" s="29">
        <f>C4+C5</f>
        <v>180723</v>
      </c>
      <c r="D6" s="29">
        <f>D4+D5</f>
        <v>191034</v>
      </c>
      <c r="E6" s="29">
        <f>E4+E5</f>
        <v>210951</v>
      </c>
    </row>
    <row r="7" spans="2:12">
      <c r="C7" s="11"/>
      <c r="D7" s="11"/>
      <c r="E7" s="11"/>
    </row>
    <row r="8" spans="2:12">
      <c r="B8" s="7" t="s">
        <v>8</v>
      </c>
      <c r="C8" s="11">
        <v>-139903.0394666667</v>
      </c>
      <c r="D8" s="11">
        <v>-138922.98879999999</v>
      </c>
      <c r="E8" s="11">
        <v>-150080.46882539699</v>
      </c>
    </row>
    <row r="9" spans="2:12">
      <c r="B9" s="7" t="s">
        <v>57</v>
      </c>
      <c r="C9" s="11">
        <v>-2491.3280000000004</v>
      </c>
      <c r="D9" s="11">
        <v>-11649.177600000001</v>
      </c>
      <c r="E9" s="11">
        <v>-7442.6495999999997</v>
      </c>
    </row>
    <row r="10" spans="2:12">
      <c r="B10" s="28" t="s">
        <v>159</v>
      </c>
      <c r="C10" s="29">
        <f>C8+C9</f>
        <v>-142394.36746666671</v>
      </c>
      <c r="D10" s="29">
        <f>D8+D9</f>
        <v>-150572.16639999999</v>
      </c>
      <c r="E10" s="29">
        <f>E8+E9</f>
        <v>-157523.118425397</v>
      </c>
    </row>
    <row r="11" spans="2:12">
      <c r="C11" s="11"/>
      <c r="D11" s="11"/>
      <c r="E11" s="11"/>
    </row>
    <row r="12" spans="2:12">
      <c r="B12" s="7" t="s">
        <v>9</v>
      </c>
      <c r="C12" s="11">
        <v>-16389.593600000004</v>
      </c>
      <c r="D12" s="11">
        <v>-17878.310399999998</v>
      </c>
      <c r="E12" s="11">
        <v>-22293.312000000005</v>
      </c>
    </row>
    <row r="13" spans="2:12">
      <c r="B13" s="7" t="s">
        <v>10</v>
      </c>
      <c r="C13" s="11">
        <v>-290.72640000000007</v>
      </c>
      <c r="D13" s="11">
        <v>-246.13120000000004</v>
      </c>
      <c r="E13" s="11">
        <v>-120.92160000000001</v>
      </c>
    </row>
    <row r="14" spans="2:12">
      <c r="B14" s="7" t="s">
        <v>11</v>
      </c>
      <c r="C14" s="11">
        <v>-1330.9952000000003</v>
      </c>
      <c r="D14" s="11">
        <v>-1123.4560000000001</v>
      </c>
      <c r="E14" s="11">
        <v>-1452.7744000000002</v>
      </c>
    </row>
    <row r="15" spans="2:12">
      <c r="B15" s="28" t="s">
        <v>158</v>
      </c>
      <c r="C15" s="29">
        <f>SUM(C12:C14)</f>
        <v>-18011.315200000005</v>
      </c>
      <c r="D15" s="29">
        <f t="shared" ref="D15:E15" si="0">SUM(D12:D14)</f>
        <v>-19247.897599999997</v>
      </c>
      <c r="E15" s="29">
        <f t="shared" si="0"/>
        <v>-23867.008000000009</v>
      </c>
    </row>
    <row r="16" spans="2:12">
      <c r="C16" s="11"/>
      <c r="D16" s="11"/>
      <c r="E16" s="11"/>
    </row>
    <row r="17" spans="2:5">
      <c r="B17" s="28" t="s">
        <v>12</v>
      </c>
      <c r="C17" s="29">
        <f>C6+C10+C15</f>
        <v>20317.317333333289</v>
      </c>
      <c r="D17" s="29">
        <f t="shared" ref="D17:E17" si="1">D6+D10+D15</f>
        <v>21213.936000000016</v>
      </c>
      <c r="E17" s="29">
        <f t="shared" si="1"/>
        <v>29560.873574602992</v>
      </c>
    </row>
    <row r="18" spans="2:5">
      <c r="C18" s="11"/>
      <c r="D18" s="11"/>
      <c r="E18" s="11"/>
    </row>
    <row r="19" spans="2:5">
      <c r="B19" s="7" t="s">
        <v>13</v>
      </c>
      <c r="C19" s="11">
        <v>-2907.8000000000006</v>
      </c>
      <c r="D19" s="11">
        <v>-4649.8</v>
      </c>
      <c r="E19" s="11">
        <v>-6430.6600000000008</v>
      </c>
    </row>
    <row r="20" spans="2:5">
      <c r="C20" s="11"/>
      <c r="D20" s="11"/>
      <c r="E20" s="11"/>
    </row>
    <row r="21" spans="2:5">
      <c r="B21" s="28" t="s">
        <v>14</v>
      </c>
      <c r="C21" s="29">
        <f>C17+C19</f>
        <v>17409.51733333329</v>
      </c>
      <c r="D21" s="29">
        <f>D17+D19</f>
        <v>16564.136000000017</v>
      </c>
      <c r="E21" s="29">
        <f>E17+E19</f>
        <v>23130.213574602993</v>
      </c>
    </row>
    <row r="22" spans="2:5">
      <c r="C22" s="11"/>
      <c r="D22" s="11"/>
      <c r="E22" s="11"/>
    </row>
    <row r="23" spans="2:5">
      <c r="B23" s="7" t="s">
        <v>160</v>
      </c>
      <c r="C23" s="11">
        <v>-1266.3000000000002</v>
      </c>
      <c r="D23" s="11">
        <v>-2190.9</v>
      </c>
      <c r="E23" s="11">
        <v>-2663.92</v>
      </c>
    </row>
    <row r="24" spans="2:5">
      <c r="B24" s="7" t="s">
        <v>15</v>
      </c>
      <c r="C24" s="11">
        <v>-317.58000000000004</v>
      </c>
      <c r="D24" s="11">
        <v>-864.30000000000007</v>
      </c>
      <c r="E24" s="11">
        <v>-320.26</v>
      </c>
    </row>
    <row r="25" spans="2:5">
      <c r="C25" s="11"/>
      <c r="D25" s="11"/>
      <c r="E25" s="11"/>
    </row>
    <row r="26" spans="2:5">
      <c r="B26" s="28" t="s">
        <v>16</v>
      </c>
      <c r="C26" s="29">
        <f>C21+C24+C23</f>
        <v>15825.637333333289</v>
      </c>
      <c r="D26" s="29">
        <f>D21+D24+D23</f>
        <v>13508.936000000018</v>
      </c>
      <c r="E26" s="29">
        <f>E21+E24+E23</f>
        <v>20146.033574602996</v>
      </c>
    </row>
    <row r="27" spans="2:5">
      <c r="C27" s="11"/>
      <c r="D27" s="11"/>
      <c r="E27" s="11"/>
    </row>
    <row r="28" spans="2:5">
      <c r="B28" s="7" t="s">
        <v>17</v>
      </c>
      <c r="C28" s="11">
        <v>-3805.7759999999998</v>
      </c>
      <c r="D28" s="11">
        <v>-3050.192</v>
      </c>
      <c r="E28" s="11">
        <v>-3814.88</v>
      </c>
    </row>
    <row r="29" spans="2:5">
      <c r="C29" s="11"/>
      <c r="D29" s="11"/>
      <c r="E29" s="11"/>
    </row>
    <row r="30" spans="2:5">
      <c r="B30" s="28" t="s">
        <v>18</v>
      </c>
      <c r="C30" s="29">
        <f>C26+C28</f>
        <v>12019.861333333289</v>
      </c>
      <c r="D30" s="29">
        <f>D26+D28</f>
        <v>10458.744000000017</v>
      </c>
      <c r="E30" s="29">
        <f>E26+E28</f>
        <v>16331.153574602995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F35"/>
  <sheetViews>
    <sheetView zoomScale="130" zoomScaleNormal="130" workbookViewId="0">
      <selection activeCell="G32" sqref="G32"/>
    </sheetView>
  </sheetViews>
  <sheetFormatPr baseColWidth="10" defaultColWidth="9.1640625" defaultRowHeight="12"/>
  <cols>
    <col min="1" max="1" width="2" style="7" customWidth="1"/>
    <col min="2" max="2" width="24.1640625" style="7" bestFit="1" customWidth="1"/>
    <col min="3" max="3" width="10.83203125" style="7" customWidth="1"/>
    <col min="4" max="4" width="10.6640625" style="7" customWidth="1"/>
    <col min="5" max="5" width="10" style="7" bestFit="1" customWidth="1"/>
    <col min="6" max="16384" width="9.1640625" style="7"/>
  </cols>
  <sheetData>
    <row r="1" spans="2:6" ht="16">
      <c r="B1" s="6" t="s">
        <v>0</v>
      </c>
    </row>
    <row r="2" spans="2:6">
      <c r="B2" s="7" t="s">
        <v>157</v>
      </c>
    </row>
    <row r="3" spans="2:6" ht="26">
      <c r="B3" s="91" t="s">
        <v>156</v>
      </c>
      <c r="C3" s="92" t="s">
        <v>67</v>
      </c>
      <c r="D3" s="92" t="s">
        <v>68</v>
      </c>
      <c r="E3" s="92" t="s">
        <v>69</v>
      </c>
    </row>
    <row r="4" spans="2:6">
      <c r="B4" s="7" t="s">
        <v>23</v>
      </c>
      <c r="C4" s="11">
        <v>5961.6</v>
      </c>
      <c r="D4" s="11">
        <v>5840</v>
      </c>
      <c r="E4" s="11">
        <v>5650</v>
      </c>
      <c r="F4" s="11"/>
    </row>
    <row r="5" spans="2:6">
      <c r="B5" s="7" t="s">
        <v>34</v>
      </c>
      <c r="C5" s="11">
        <v>45106.400000000001</v>
      </c>
      <c r="D5" s="11">
        <v>49072.4</v>
      </c>
      <c r="E5" s="11">
        <v>56109.2</v>
      </c>
      <c r="F5" s="11"/>
    </row>
    <row r="6" spans="2:6">
      <c r="B6" s="7" t="s">
        <v>40</v>
      </c>
      <c r="C6" s="11">
        <v>8824</v>
      </c>
      <c r="D6" s="11">
        <v>9831</v>
      </c>
      <c r="E6" s="11">
        <v>10323</v>
      </c>
      <c r="F6" s="11"/>
    </row>
    <row r="7" spans="2:6">
      <c r="C7" s="11"/>
      <c r="D7" s="11"/>
      <c r="E7" s="11"/>
      <c r="F7" s="11"/>
    </row>
    <row r="8" spans="2:6" ht="13" thickBot="1">
      <c r="B8" s="8" t="s">
        <v>42</v>
      </c>
      <c r="C8" s="12">
        <f>C6+C5+C4</f>
        <v>59892</v>
      </c>
      <c r="D8" s="12">
        <f>D6+D5+D4</f>
        <v>64743.4</v>
      </c>
      <c r="E8" s="12">
        <f>E6+E5+E4</f>
        <v>72082.2</v>
      </c>
      <c r="F8" s="11"/>
    </row>
    <row r="9" spans="2:6">
      <c r="C9" s="11"/>
      <c r="D9" s="11"/>
      <c r="E9" s="11"/>
      <c r="F9" s="11"/>
    </row>
    <row r="10" spans="2:6">
      <c r="B10" s="7" t="s">
        <v>26</v>
      </c>
      <c r="C10" s="11">
        <v>31167.200000000001</v>
      </c>
      <c r="D10" s="11">
        <v>36396.800000000003</v>
      </c>
      <c r="E10" s="11">
        <v>46212</v>
      </c>
      <c r="F10" s="11"/>
    </row>
    <row r="11" spans="2:6">
      <c r="B11" s="7" t="s">
        <v>24</v>
      </c>
      <c r="C11" s="11">
        <v>32883.599999999999</v>
      </c>
      <c r="D11" s="11">
        <v>38556</v>
      </c>
      <c r="E11" s="11">
        <v>43581.599999999999</v>
      </c>
      <c r="F11" s="11"/>
    </row>
    <row r="12" spans="2:6">
      <c r="B12" s="7" t="s">
        <v>25</v>
      </c>
      <c r="C12" s="11">
        <v>8841.6</v>
      </c>
      <c r="D12" s="11">
        <v>11359.199999999999</v>
      </c>
      <c r="E12" s="11">
        <v>17602.8</v>
      </c>
      <c r="F12" s="11"/>
    </row>
    <row r="13" spans="2:6">
      <c r="C13" s="11"/>
      <c r="D13" s="11"/>
      <c r="E13" s="11"/>
      <c r="F13" s="11"/>
    </row>
    <row r="14" spans="2:6">
      <c r="B14" s="7" t="s">
        <v>27</v>
      </c>
      <c r="C14" s="11">
        <v>11791.199999999999</v>
      </c>
      <c r="D14" s="11">
        <v>19408.8</v>
      </c>
      <c r="E14" s="11">
        <v>8173.6</v>
      </c>
      <c r="F14" s="11"/>
    </row>
    <row r="15" spans="2:6" ht="13" thickBot="1">
      <c r="B15" s="8" t="s">
        <v>43</v>
      </c>
      <c r="C15" s="12">
        <f>+C14+C12+C11+C10</f>
        <v>84683.599999999991</v>
      </c>
      <c r="D15" s="12">
        <f>+D14+D12+D11+D10</f>
        <v>105720.8</v>
      </c>
      <c r="E15" s="12">
        <f>+E14+E12+E11+E10</f>
        <v>115570</v>
      </c>
      <c r="F15" s="11"/>
    </row>
    <row r="16" spans="2:6">
      <c r="C16" s="11"/>
      <c r="D16" s="11"/>
      <c r="E16" s="11"/>
      <c r="F16" s="11"/>
    </row>
    <row r="17" spans="2:6" ht="13" thickBot="1">
      <c r="B17" s="8" t="s">
        <v>28</v>
      </c>
      <c r="C17" s="12">
        <f>C15+C8</f>
        <v>144575.59999999998</v>
      </c>
      <c r="D17" s="12">
        <f>D15+D8</f>
        <v>170464.2</v>
      </c>
      <c r="E17" s="12">
        <f>E15+E8</f>
        <v>187652.2</v>
      </c>
      <c r="F17" s="11"/>
    </row>
    <row r="19" spans="2:6">
      <c r="B19" s="11" t="s">
        <v>29</v>
      </c>
      <c r="C19" s="11">
        <v>6784.8</v>
      </c>
      <c r="D19" s="11">
        <v>6800</v>
      </c>
      <c r="E19" s="11">
        <v>7508</v>
      </c>
    </row>
    <row r="20" spans="2:6">
      <c r="B20" s="11" t="s">
        <v>30</v>
      </c>
      <c r="C20" s="11">
        <v>46224</v>
      </c>
      <c r="D20" s="11">
        <v>44414.400000000001</v>
      </c>
      <c r="E20" s="11">
        <v>46513.2</v>
      </c>
    </row>
    <row r="21" spans="2:6">
      <c r="B21" s="11" t="s">
        <v>31</v>
      </c>
      <c r="C21" s="11">
        <v>16393.7</v>
      </c>
      <c r="D21" s="11">
        <v>25993.7</v>
      </c>
      <c r="E21" s="11">
        <v>21516</v>
      </c>
    </row>
    <row r="22" spans="2:6">
      <c r="B22" s="11" t="s">
        <v>32</v>
      </c>
      <c r="C22" s="11">
        <v>12019.861333333281</v>
      </c>
      <c r="D22" s="11">
        <v>10458.744000000017</v>
      </c>
      <c r="E22" s="11">
        <v>16331.153574603002</v>
      </c>
    </row>
    <row r="23" spans="2:6" ht="13" thickBot="1">
      <c r="B23" s="12" t="s">
        <v>33</v>
      </c>
      <c r="C23" s="12">
        <f>SUM(C19:C22)</f>
        <v>81422.361333333276</v>
      </c>
      <c r="D23" s="12">
        <f>SUM(D19:D22)</f>
        <v>87666.844000000026</v>
      </c>
      <c r="E23" s="12">
        <f>SUM(E19:E22)</f>
        <v>91868.353574602996</v>
      </c>
    </row>
    <row r="24" spans="2:6">
      <c r="B24" s="11"/>
      <c r="C24" s="11"/>
      <c r="D24" s="11"/>
      <c r="E24" s="11"/>
    </row>
    <row r="25" spans="2:6">
      <c r="B25" s="11" t="s">
        <v>108</v>
      </c>
      <c r="C25" s="11">
        <v>15891.2</v>
      </c>
      <c r="D25" s="11">
        <v>26351.599999999999</v>
      </c>
      <c r="E25" s="11">
        <v>36189.599999999999</v>
      </c>
    </row>
    <row r="26" spans="2:6">
      <c r="B26" s="11" t="s">
        <v>35</v>
      </c>
      <c r="C26" s="11">
        <f>5315+654.038667</f>
        <v>5969.0386669999998</v>
      </c>
      <c r="D26" s="11">
        <f>4334+1466.356</f>
        <v>5800.3559999999998</v>
      </c>
      <c r="E26" s="11">
        <f>6473.04642539704+2000.4</f>
        <v>8473.44642539704</v>
      </c>
    </row>
    <row r="27" spans="2:6">
      <c r="B27" s="11"/>
      <c r="C27" s="11"/>
      <c r="D27" s="11"/>
      <c r="E27" s="11"/>
    </row>
    <row r="28" spans="2:6">
      <c r="B28" s="11" t="s">
        <v>36</v>
      </c>
      <c r="C28" s="11">
        <v>37402.600000000006</v>
      </c>
      <c r="D28" s="11">
        <v>45594.6</v>
      </c>
      <c r="E28" s="11">
        <v>50680.399999999994</v>
      </c>
    </row>
    <row r="29" spans="2:6">
      <c r="B29" s="11" t="s">
        <v>37</v>
      </c>
      <c r="C29" s="11">
        <v>3890.3999999999996</v>
      </c>
      <c r="D29" s="11">
        <v>5050.8</v>
      </c>
      <c r="E29" s="11">
        <v>440.4</v>
      </c>
    </row>
    <row r="30" spans="2:6" ht="13" thickBot="1">
      <c r="B30" s="12" t="s">
        <v>38</v>
      </c>
      <c r="C30" s="12">
        <f>C29+C28+SUM(C25:C26)</f>
        <v>63153.238667000012</v>
      </c>
      <c r="D30" s="12">
        <f>D29+D28+SUM(D25:D26)</f>
        <v>82797.356</v>
      </c>
      <c r="E30" s="12">
        <f>E29+E28+SUM(E25:E26)</f>
        <v>95783.846425397031</v>
      </c>
    </row>
    <row r="31" spans="2:6">
      <c r="B31" s="11"/>
      <c r="C31" s="11"/>
      <c r="D31" s="11"/>
      <c r="E31" s="11"/>
    </row>
    <row r="32" spans="2:6">
      <c r="B32" s="29" t="s">
        <v>39</v>
      </c>
      <c r="C32" s="29">
        <f>C30+C23</f>
        <v>144575.60000033327</v>
      </c>
      <c r="D32" s="29">
        <f>D30+D23</f>
        <v>170464.2</v>
      </c>
      <c r="E32" s="29">
        <f>E30+E23</f>
        <v>187652.2</v>
      </c>
    </row>
    <row r="35" spans="3:4">
      <c r="C35" s="95"/>
      <c r="D35" s="94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49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61"/>
  <sheetViews>
    <sheetView zoomScale="130" zoomScaleNormal="130" workbookViewId="0">
      <pane ySplit="8" topLeftCell="A9" activePane="bottomLeft" state="frozen"/>
      <selection pane="bottomLeft" activeCell="I19" sqref="I19"/>
    </sheetView>
  </sheetViews>
  <sheetFormatPr baseColWidth="10" defaultColWidth="9.1640625" defaultRowHeight="12"/>
  <cols>
    <col min="1" max="1" width="2" style="7" customWidth="1"/>
    <col min="2" max="2" width="21.83203125" style="7" bestFit="1" customWidth="1"/>
    <col min="3" max="3" width="10.5" style="7" bestFit="1" customWidth="1"/>
    <col min="4" max="5" width="9.1640625" style="7"/>
    <col min="6" max="6" width="2" style="7" customWidth="1"/>
    <col min="7" max="7" width="11" style="7" bestFit="1" customWidth="1"/>
    <col min="8" max="11" width="10.5" style="7" bestFit="1" customWidth="1"/>
    <col min="12" max="16384" width="9.1640625" style="7"/>
  </cols>
  <sheetData>
    <row r="1" spans="1:13" ht="16">
      <c r="A1" s="1"/>
      <c r="B1" s="6" t="s">
        <v>20</v>
      </c>
    </row>
    <row r="2" spans="1:13">
      <c r="G2" s="7" t="s">
        <v>82</v>
      </c>
    </row>
    <row r="3" spans="1:13">
      <c r="G3" s="7" t="s">
        <v>75</v>
      </c>
      <c r="H3" s="7" t="s">
        <v>78</v>
      </c>
    </row>
    <row r="4" spans="1:13">
      <c r="G4" s="7" t="s">
        <v>76</v>
      </c>
      <c r="H4" s="7" t="s">
        <v>79</v>
      </c>
    </row>
    <row r="5" spans="1:13">
      <c r="B5" s="7" t="s">
        <v>81</v>
      </c>
      <c r="C5" s="36">
        <v>2</v>
      </c>
      <c r="G5" s="7" t="s">
        <v>77</v>
      </c>
      <c r="H5" s="7" t="s">
        <v>80</v>
      </c>
    </row>
    <row r="7" spans="1:13" ht="3.75" customHeight="1"/>
    <row r="8" spans="1:13" ht="27" thickBot="1">
      <c r="B8" s="14" t="s">
        <v>41</v>
      </c>
      <c r="C8" s="15" t="s">
        <v>153</v>
      </c>
      <c r="D8" s="15" t="s">
        <v>154</v>
      </c>
      <c r="E8" s="15" t="s">
        <v>155</v>
      </c>
      <c r="F8" s="18"/>
      <c r="G8" s="16" t="s">
        <v>62</v>
      </c>
      <c r="H8" s="16" t="s">
        <v>63</v>
      </c>
      <c r="I8" s="16" t="s">
        <v>64</v>
      </c>
      <c r="J8" s="16" t="s">
        <v>65</v>
      </c>
      <c r="K8" s="16" t="s">
        <v>66</v>
      </c>
    </row>
    <row r="9" spans="1:13">
      <c r="B9" s="7" t="s">
        <v>58</v>
      </c>
      <c r="C9" s="11"/>
      <c r="D9" s="11"/>
      <c r="E9" s="11"/>
      <c r="G9" s="24"/>
      <c r="H9" s="24"/>
      <c r="I9" s="24"/>
      <c r="J9" s="24"/>
      <c r="K9" s="24"/>
      <c r="M9" s="18"/>
    </row>
    <row r="10" spans="1:13">
      <c r="B10" s="7" t="s">
        <v>83</v>
      </c>
      <c r="C10" s="30"/>
      <c r="D10" s="22"/>
      <c r="E10" s="22"/>
      <c r="G10" s="23"/>
      <c r="H10" s="23"/>
      <c r="I10" s="23"/>
      <c r="J10" s="23"/>
      <c r="K10" s="23"/>
    </row>
    <row r="11" spans="1:13">
      <c r="B11" s="7" t="s">
        <v>75</v>
      </c>
      <c r="C11" s="43"/>
      <c r="D11" s="43"/>
      <c r="E11" s="43"/>
      <c r="G11" s="23"/>
      <c r="H11" s="23"/>
      <c r="I11" s="23"/>
      <c r="J11" s="23"/>
      <c r="K11" s="23"/>
    </row>
    <row r="12" spans="1:13">
      <c r="B12" s="7" t="s">
        <v>76</v>
      </c>
      <c r="C12" s="43"/>
      <c r="D12" s="43"/>
      <c r="E12" s="43"/>
      <c r="G12" s="23"/>
      <c r="H12" s="23"/>
      <c r="I12" s="23"/>
      <c r="J12" s="23"/>
      <c r="K12" s="23"/>
    </row>
    <row r="13" spans="1:13">
      <c r="B13" s="7" t="s">
        <v>77</v>
      </c>
      <c r="C13" s="43"/>
      <c r="D13" s="43"/>
      <c r="E13" s="43"/>
      <c r="G13" s="23"/>
      <c r="H13" s="23"/>
      <c r="I13" s="23"/>
      <c r="J13" s="23"/>
      <c r="K13" s="23"/>
    </row>
    <row r="14" spans="1:13" ht="3.75" customHeight="1">
      <c r="G14" s="24"/>
      <c r="H14" s="24"/>
      <c r="I14" s="24"/>
      <c r="J14" s="24"/>
      <c r="K14" s="24"/>
    </row>
    <row r="15" spans="1:13">
      <c r="B15" s="7" t="s">
        <v>84</v>
      </c>
      <c r="C15" s="11"/>
      <c r="D15" s="11"/>
      <c r="E15" s="11"/>
      <c r="G15" s="24"/>
      <c r="H15" s="24"/>
      <c r="I15" s="24"/>
      <c r="J15" s="24"/>
      <c r="K15" s="24"/>
    </row>
    <row r="16" spans="1:13">
      <c r="B16" s="7" t="s">
        <v>85</v>
      </c>
      <c r="C16" s="11"/>
      <c r="D16" s="11"/>
      <c r="E16" s="11"/>
      <c r="G16" s="23"/>
      <c r="H16" s="23"/>
      <c r="I16" s="23"/>
      <c r="J16" s="23"/>
      <c r="K16" s="23"/>
    </row>
    <row r="17" spans="2:11">
      <c r="B17" s="7" t="s">
        <v>86</v>
      </c>
      <c r="C17" s="43"/>
      <c r="D17" s="43"/>
      <c r="E17" s="43"/>
      <c r="G17" s="23"/>
      <c r="H17" s="23"/>
      <c r="I17" s="23"/>
      <c r="J17" s="23"/>
      <c r="K17" s="23"/>
    </row>
    <row r="18" spans="2:11">
      <c r="B18" s="7" t="s">
        <v>87</v>
      </c>
      <c r="C18" s="43"/>
      <c r="D18" s="43"/>
      <c r="E18" s="43"/>
      <c r="G18" s="23"/>
      <c r="H18" s="23"/>
      <c r="I18" s="23"/>
      <c r="J18" s="23"/>
      <c r="K18" s="23"/>
    </row>
    <row r="19" spans="2:11">
      <c r="B19" s="7" t="s">
        <v>88</v>
      </c>
      <c r="C19" s="43"/>
      <c r="D19" s="43"/>
      <c r="E19" s="43"/>
      <c r="G19" s="23"/>
      <c r="H19" s="23"/>
      <c r="I19" s="23"/>
      <c r="J19" s="23"/>
      <c r="K19" s="23"/>
    </row>
    <row r="20" spans="2:11" ht="3.75" customHeight="1">
      <c r="C20" s="11"/>
      <c r="D20" s="11"/>
      <c r="E20" s="11"/>
      <c r="G20" s="24"/>
      <c r="H20" s="24"/>
      <c r="I20" s="24"/>
      <c r="J20" s="24"/>
      <c r="K20" s="24"/>
    </row>
    <row r="21" spans="2:11">
      <c r="B21" s="7" t="s">
        <v>89</v>
      </c>
      <c r="C21" s="11"/>
      <c r="D21" s="11"/>
      <c r="E21" s="11"/>
      <c r="G21" s="32"/>
      <c r="H21" s="32"/>
      <c r="I21" s="32"/>
      <c r="J21" s="32"/>
      <c r="K21" s="32"/>
    </row>
    <row r="22" spans="2:11">
      <c r="B22" s="7" t="s">
        <v>90</v>
      </c>
      <c r="C22" s="21"/>
      <c r="D22" s="21"/>
      <c r="E22" s="21"/>
      <c r="G22" s="23"/>
      <c r="H22" s="23"/>
      <c r="I22" s="23"/>
      <c r="J22" s="23"/>
      <c r="K22" s="23"/>
    </row>
    <row r="23" spans="2:11">
      <c r="B23" s="7" t="s">
        <v>86</v>
      </c>
      <c r="C23" s="43"/>
      <c r="D23" s="43"/>
      <c r="E23" s="43"/>
      <c r="G23" s="23"/>
      <c r="H23" s="23"/>
      <c r="I23" s="23"/>
      <c r="J23" s="23"/>
      <c r="K23" s="23"/>
    </row>
    <row r="24" spans="2:11">
      <c r="B24" s="7" t="s">
        <v>87</v>
      </c>
      <c r="C24" s="43"/>
      <c r="D24" s="43"/>
      <c r="E24" s="43"/>
      <c r="G24" s="23"/>
      <c r="H24" s="23"/>
      <c r="I24" s="23"/>
      <c r="J24" s="23"/>
      <c r="K24" s="23"/>
    </row>
    <row r="25" spans="2:11" ht="12" customHeight="1">
      <c r="B25" s="7" t="s">
        <v>88</v>
      </c>
      <c r="C25" s="43"/>
      <c r="D25" s="43"/>
      <c r="E25" s="43"/>
      <c r="G25" s="23"/>
      <c r="H25" s="23"/>
      <c r="I25" s="23"/>
      <c r="J25" s="23"/>
      <c r="K25" s="23"/>
    </row>
    <row r="26" spans="2:11" ht="3.75" customHeight="1">
      <c r="C26" s="11"/>
      <c r="D26" s="11"/>
      <c r="E26" s="11"/>
      <c r="G26" s="24"/>
      <c r="H26" s="24"/>
      <c r="I26" s="24"/>
      <c r="J26" s="24"/>
      <c r="K26" s="24"/>
    </row>
    <row r="27" spans="2:11" ht="12" customHeight="1">
      <c r="B27" s="7" t="s">
        <v>91</v>
      </c>
      <c r="C27" s="11"/>
      <c r="D27" s="11"/>
      <c r="E27" s="11"/>
      <c r="G27" s="32"/>
      <c r="H27" s="32"/>
      <c r="I27" s="32"/>
      <c r="J27" s="32"/>
      <c r="K27" s="32"/>
    </row>
    <row r="28" spans="2:11" ht="12" customHeight="1">
      <c r="B28" s="7" t="s">
        <v>90</v>
      </c>
      <c r="C28" s="22"/>
      <c r="D28" s="22"/>
      <c r="E28" s="22"/>
      <c r="G28" s="23"/>
      <c r="H28" s="23"/>
      <c r="I28" s="23"/>
      <c r="J28" s="23"/>
      <c r="K28" s="23"/>
    </row>
    <row r="29" spans="2:11" ht="12" customHeight="1">
      <c r="B29" s="7" t="s">
        <v>86</v>
      </c>
      <c r="C29" s="43"/>
      <c r="D29" s="43"/>
      <c r="E29" s="43"/>
      <c r="G29" s="23"/>
      <c r="H29" s="23"/>
      <c r="I29" s="23"/>
      <c r="J29" s="23"/>
      <c r="K29" s="23"/>
    </row>
    <row r="30" spans="2:11" ht="12" customHeight="1">
      <c r="B30" s="7" t="s">
        <v>87</v>
      </c>
      <c r="C30" s="43"/>
      <c r="D30" s="43"/>
      <c r="E30" s="43"/>
      <c r="G30" s="23"/>
      <c r="H30" s="23"/>
      <c r="I30" s="23"/>
      <c r="J30" s="23"/>
      <c r="K30" s="23"/>
    </row>
    <row r="31" spans="2:11" ht="12" customHeight="1">
      <c r="B31" s="7" t="s">
        <v>88</v>
      </c>
      <c r="C31" s="43"/>
      <c r="D31" s="43"/>
      <c r="E31" s="43"/>
      <c r="G31" s="23"/>
      <c r="H31" s="23"/>
      <c r="I31" s="23"/>
      <c r="J31" s="23"/>
      <c r="K31" s="23"/>
    </row>
    <row r="32" spans="2:11" ht="3.75" customHeight="1">
      <c r="C32" s="11"/>
      <c r="D32" s="11"/>
      <c r="E32" s="11"/>
      <c r="G32" s="23"/>
      <c r="H32" s="23"/>
      <c r="I32" s="23"/>
      <c r="J32" s="23"/>
      <c r="K32" s="23"/>
    </row>
    <row r="33" spans="2:11">
      <c r="B33" s="7" t="s">
        <v>13</v>
      </c>
      <c r="C33" s="11"/>
      <c r="D33" s="11"/>
      <c r="E33" s="11"/>
      <c r="G33" s="32"/>
      <c r="H33" s="32"/>
      <c r="I33" s="32"/>
      <c r="J33" s="32"/>
      <c r="K33" s="32"/>
    </row>
    <row r="34" spans="2:11">
      <c r="B34" s="7" t="s">
        <v>90</v>
      </c>
      <c r="C34" s="22"/>
      <c r="D34" s="22"/>
      <c r="E34" s="22"/>
      <c r="G34" s="23"/>
      <c r="H34" s="23"/>
      <c r="I34" s="23"/>
      <c r="J34" s="23"/>
      <c r="K34" s="23"/>
    </row>
    <row r="35" spans="2:11">
      <c r="B35" s="7" t="s">
        <v>86</v>
      </c>
      <c r="C35" s="43"/>
      <c r="D35" s="43"/>
      <c r="E35" s="43"/>
      <c r="G35" s="23"/>
      <c r="H35" s="23"/>
      <c r="I35" s="23"/>
      <c r="J35" s="23"/>
      <c r="K35" s="23"/>
    </row>
    <row r="36" spans="2:11">
      <c r="B36" s="7" t="s">
        <v>87</v>
      </c>
      <c r="C36" s="43"/>
      <c r="D36" s="43"/>
      <c r="E36" s="43"/>
      <c r="G36" s="23"/>
      <c r="H36" s="23"/>
      <c r="I36" s="23"/>
      <c r="J36" s="23"/>
      <c r="K36" s="23"/>
    </row>
    <row r="37" spans="2:11" ht="12" customHeight="1">
      <c r="B37" s="7" t="s">
        <v>88</v>
      </c>
      <c r="C37" s="43"/>
      <c r="D37" s="43"/>
      <c r="E37" s="43"/>
      <c r="G37" s="23"/>
      <c r="H37" s="23"/>
      <c r="I37" s="23"/>
      <c r="J37" s="23"/>
      <c r="K37" s="23"/>
    </row>
    <row r="38" spans="2:11" ht="3.75" customHeight="1">
      <c r="C38" s="11"/>
      <c r="D38" s="11"/>
      <c r="E38" s="11"/>
      <c r="G38" s="23"/>
      <c r="H38" s="23"/>
      <c r="I38" s="23"/>
      <c r="J38" s="23"/>
      <c r="K38" s="23"/>
    </row>
    <row r="39" spans="2:11" ht="12" customHeight="1">
      <c r="B39" s="7" t="s">
        <v>92</v>
      </c>
      <c r="C39" s="11"/>
      <c r="D39" s="11"/>
      <c r="E39" s="11"/>
      <c r="G39" s="24"/>
      <c r="H39" s="24"/>
      <c r="I39" s="24"/>
      <c r="J39" s="24"/>
      <c r="K39" s="24"/>
    </row>
    <row r="40" spans="2:11" ht="12" customHeight="1">
      <c r="B40" s="7" t="s">
        <v>85</v>
      </c>
      <c r="C40" s="44"/>
      <c r="D40" s="44"/>
      <c r="E40" s="44"/>
      <c r="G40" s="23"/>
      <c r="H40" s="23"/>
      <c r="I40" s="23"/>
      <c r="J40" s="23"/>
      <c r="K40" s="23"/>
    </row>
    <row r="41" spans="2:11" ht="12" customHeight="1">
      <c r="B41" s="7" t="s">
        <v>86</v>
      </c>
      <c r="C41" s="43"/>
      <c r="D41" s="43"/>
      <c r="E41" s="43"/>
      <c r="G41" s="23"/>
      <c r="H41" s="23"/>
      <c r="I41" s="23"/>
      <c r="J41" s="23"/>
      <c r="K41" s="23"/>
    </row>
    <row r="42" spans="2:11" ht="12" customHeight="1">
      <c r="B42" s="7" t="s">
        <v>87</v>
      </c>
      <c r="C42" s="43"/>
      <c r="D42" s="43"/>
      <c r="E42" s="43"/>
      <c r="G42" s="23"/>
      <c r="H42" s="23"/>
      <c r="I42" s="23"/>
      <c r="J42" s="23"/>
      <c r="K42" s="23"/>
    </row>
    <row r="43" spans="2:11" ht="12" customHeight="1">
      <c r="B43" s="7" t="s">
        <v>88</v>
      </c>
      <c r="C43" s="43"/>
      <c r="D43" s="43"/>
      <c r="E43" s="43"/>
      <c r="G43" s="23"/>
      <c r="H43" s="23"/>
      <c r="I43" s="23"/>
      <c r="J43" s="23"/>
      <c r="K43" s="23"/>
    </row>
    <row r="44" spans="2:11" ht="3.75" customHeight="1">
      <c r="C44" s="11"/>
      <c r="D44" s="11"/>
      <c r="E44" s="11"/>
      <c r="G44" s="23"/>
      <c r="H44" s="23"/>
      <c r="I44" s="23"/>
      <c r="J44" s="23"/>
      <c r="K44" s="23"/>
    </row>
    <row r="45" spans="2:11" ht="12" customHeight="1">
      <c r="B45" s="7" t="s">
        <v>15</v>
      </c>
      <c r="C45" s="11"/>
      <c r="D45" s="11"/>
      <c r="E45" s="11"/>
      <c r="G45" s="32"/>
      <c r="H45" s="32"/>
      <c r="I45" s="32"/>
      <c r="J45" s="32"/>
      <c r="K45" s="32"/>
    </row>
    <row r="46" spans="2:11" ht="12" customHeight="1">
      <c r="B46" s="7" t="s">
        <v>90</v>
      </c>
      <c r="C46" s="22"/>
      <c r="D46" s="22"/>
      <c r="E46" s="22"/>
      <c r="G46" s="23"/>
      <c r="H46" s="23"/>
      <c r="I46" s="23"/>
      <c r="J46" s="23"/>
      <c r="K46" s="23"/>
    </row>
    <row r="47" spans="2:11" ht="12" customHeight="1">
      <c r="B47" s="7" t="s">
        <v>86</v>
      </c>
      <c r="C47" s="43"/>
      <c r="D47" s="43"/>
      <c r="E47" s="43"/>
      <c r="G47" s="23"/>
      <c r="H47" s="23"/>
      <c r="I47" s="23"/>
      <c r="J47" s="23"/>
      <c r="K47" s="23"/>
    </row>
    <row r="48" spans="2:11" ht="12" customHeight="1">
      <c r="B48" s="7" t="s">
        <v>87</v>
      </c>
      <c r="C48" s="43"/>
      <c r="D48" s="43"/>
      <c r="E48" s="43"/>
      <c r="G48" s="23"/>
      <c r="H48" s="23"/>
      <c r="I48" s="23"/>
      <c r="J48" s="23"/>
      <c r="K48" s="23"/>
    </row>
    <row r="49" spans="2:11" ht="12" customHeight="1">
      <c r="B49" s="7" t="s">
        <v>88</v>
      </c>
      <c r="C49" s="43"/>
      <c r="D49" s="43"/>
      <c r="E49" s="43"/>
      <c r="G49" s="23"/>
      <c r="H49" s="23"/>
      <c r="I49" s="23"/>
      <c r="J49" s="23"/>
      <c r="K49" s="23"/>
    </row>
    <row r="50" spans="2:11" ht="3.75" customHeight="1">
      <c r="C50" s="11"/>
      <c r="D50" s="11"/>
      <c r="E50" s="11"/>
      <c r="G50" s="23"/>
      <c r="H50" s="23"/>
      <c r="I50" s="23"/>
      <c r="J50" s="23"/>
      <c r="K50" s="23"/>
    </row>
    <row r="51" spans="2:11">
      <c r="B51" s="7" t="s">
        <v>17</v>
      </c>
      <c r="C51" s="11"/>
      <c r="D51" s="11"/>
      <c r="E51" s="11"/>
      <c r="G51" s="23"/>
      <c r="H51" s="23"/>
      <c r="I51" s="23"/>
      <c r="J51" s="23"/>
      <c r="K51" s="23"/>
    </row>
    <row r="52" spans="2:11">
      <c r="B52" s="7" t="s">
        <v>93</v>
      </c>
      <c r="C52" s="21"/>
      <c r="D52" s="21"/>
      <c r="E52" s="21"/>
      <c r="G52" s="23"/>
      <c r="H52" s="23"/>
      <c r="I52" s="23"/>
      <c r="J52" s="23"/>
      <c r="K52" s="23"/>
    </row>
    <row r="53" spans="2:11">
      <c r="B53" s="7" t="s">
        <v>86</v>
      </c>
      <c r="C53" s="43"/>
      <c r="D53" s="43"/>
      <c r="E53" s="43"/>
      <c r="G53" s="23"/>
      <c r="H53" s="23"/>
      <c r="I53" s="23"/>
      <c r="J53" s="23"/>
      <c r="K53" s="23"/>
    </row>
    <row r="54" spans="2:11">
      <c r="B54" s="7" t="s">
        <v>87</v>
      </c>
      <c r="C54" s="43"/>
      <c r="D54" s="43"/>
      <c r="E54" s="43"/>
      <c r="G54" s="23"/>
      <c r="H54" s="23"/>
      <c r="I54" s="23"/>
      <c r="J54" s="23"/>
      <c r="K54" s="23"/>
    </row>
    <row r="55" spans="2:11">
      <c r="B55" s="7" t="s">
        <v>88</v>
      </c>
      <c r="C55" s="43"/>
      <c r="D55" s="43"/>
      <c r="E55" s="43"/>
      <c r="G55" s="23"/>
      <c r="H55" s="23"/>
      <c r="I55" s="23"/>
      <c r="J55" s="23"/>
      <c r="K55" s="23"/>
    </row>
    <row r="57" spans="2:11">
      <c r="G57" s="31"/>
      <c r="H57" s="31"/>
      <c r="I57" s="31"/>
      <c r="J57" s="31"/>
      <c r="K57" s="31"/>
    </row>
    <row r="58" spans="2:11">
      <c r="G58" s="21"/>
      <c r="H58" s="21"/>
      <c r="I58" s="21"/>
      <c r="J58" s="21"/>
      <c r="K58" s="21"/>
    </row>
    <row r="59" spans="2:11">
      <c r="G59" s="21"/>
      <c r="H59" s="21"/>
      <c r="I59" s="21"/>
      <c r="J59" s="21"/>
      <c r="K59" s="21"/>
    </row>
    <row r="60" spans="2:11">
      <c r="G60" s="21"/>
      <c r="H60" s="21"/>
      <c r="I60" s="21"/>
      <c r="J60" s="21"/>
      <c r="K60" s="21"/>
    </row>
    <row r="61" spans="2:11">
      <c r="G61" s="21"/>
      <c r="H61" s="21"/>
      <c r="I61" s="21"/>
      <c r="J61" s="21"/>
      <c r="K61" s="21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="130" zoomScaleNormal="130" workbookViewId="0">
      <selection activeCell="G14" sqref="G14"/>
    </sheetView>
  </sheetViews>
  <sheetFormatPr baseColWidth="10" defaultColWidth="9.1640625" defaultRowHeight="12"/>
  <cols>
    <col min="1" max="1" width="2" style="7" customWidth="1"/>
    <col min="2" max="2" width="17.33203125" style="7" customWidth="1"/>
    <col min="3" max="4" width="9.1640625" style="7"/>
    <col min="5" max="5" width="10" style="7" bestFit="1" customWidth="1"/>
    <col min="6" max="6" width="2" style="7" customWidth="1"/>
    <col min="7" max="7" width="11" style="7" bestFit="1" customWidth="1"/>
    <col min="8" max="16384" width="9.1640625" style="7"/>
  </cols>
  <sheetData>
    <row r="1" spans="2:11" ht="16">
      <c r="B1" s="6" t="s">
        <v>21</v>
      </c>
    </row>
    <row r="3" spans="2:11" ht="3.75" customHeight="1"/>
    <row r="4" spans="2:11" ht="27" thickBot="1">
      <c r="B4" s="14" t="s">
        <v>41</v>
      </c>
      <c r="C4" s="15" t="s">
        <v>67</v>
      </c>
      <c r="D4" s="15" t="s">
        <v>68</v>
      </c>
      <c r="E4" s="15" t="s">
        <v>69</v>
      </c>
      <c r="F4" s="18"/>
      <c r="G4" s="16" t="s">
        <v>70</v>
      </c>
      <c r="H4" s="16" t="s">
        <v>71</v>
      </c>
      <c r="I4" s="16" t="s">
        <v>72</v>
      </c>
      <c r="J4" s="16" t="s">
        <v>73</v>
      </c>
      <c r="K4" s="16" t="s">
        <v>74</v>
      </c>
    </row>
    <row r="5" spans="2:11">
      <c r="B5" s="7" t="s">
        <v>24</v>
      </c>
      <c r="C5" s="11" cm="1">
        <f t="array" aca="1" ref="C5" ca="1">_xlfn.XLOOKUP($B5,BS[Titles],INDIRECT("BS["&amp;C$4&amp;"]"))</f>
        <v>32883.599999999999</v>
      </c>
      <c r="D5" s="11" cm="1">
        <f t="array" aca="1" ref="D5" ca="1">_xlfn.XLOOKUP($B5,BS[Titles],INDIRECT("BS["&amp;D$4&amp;"]"))</f>
        <v>38556</v>
      </c>
      <c r="E5" s="11" cm="1">
        <f t="array" aca="1" ref="E5" ca="1">_xlfn.XLOOKUP($B5,BS[Titles],INDIRECT("BS["&amp;E$4&amp;"]"))</f>
        <v>43581.599999999999</v>
      </c>
      <c r="G5" s="24">
        <f>G6*'P&amp;L assumptions'!G9/360</f>
        <v>0</v>
      </c>
      <c r="H5" s="24">
        <f>H6*'P&amp;L assumptions'!H9/360</f>
        <v>0</v>
      </c>
      <c r="I5" s="24">
        <f>I6*'P&amp;L assumptions'!I9/360</f>
        <v>0</v>
      </c>
      <c r="J5" s="24">
        <f>J6*'P&amp;L assumptions'!J9/360</f>
        <v>0</v>
      </c>
      <c r="K5" s="24">
        <f>K6*'P&amp;L assumptions'!K9/360</f>
        <v>0</v>
      </c>
    </row>
    <row r="6" spans="2:11">
      <c r="B6" s="13" t="s">
        <v>141</v>
      </c>
      <c r="C6" s="13"/>
      <c r="D6" s="13"/>
      <c r="E6" s="13"/>
      <c r="G6" s="34">
        <f>$E$6</f>
        <v>0</v>
      </c>
      <c r="H6" s="34">
        <f t="shared" ref="H6:K6" si="0">$E$6</f>
        <v>0</v>
      </c>
      <c r="I6" s="34">
        <f t="shared" si="0"/>
        <v>0</v>
      </c>
      <c r="J6" s="34">
        <f t="shared" si="0"/>
        <v>0</v>
      </c>
      <c r="K6" s="34">
        <f t="shared" si="0"/>
        <v>0</v>
      </c>
    </row>
    <row r="7" spans="2:11">
      <c r="C7" s="11"/>
      <c r="D7" s="11"/>
      <c r="E7" s="11"/>
      <c r="G7" s="17"/>
      <c r="H7" s="17"/>
      <c r="I7" s="17"/>
      <c r="J7" s="17"/>
      <c r="K7" s="17"/>
    </row>
    <row r="8" spans="2:11">
      <c r="B8" s="7" t="s">
        <v>26</v>
      </c>
      <c r="C8" s="11" cm="1">
        <f t="array" aca="1" ref="C8" ca="1">_xlfn.XLOOKUP($B8,BS[Titles],INDIRECT("BS["&amp;C$4&amp;"]"))</f>
        <v>31167.200000000001</v>
      </c>
      <c r="D8" s="11" cm="1">
        <f t="array" aca="1" ref="D8" ca="1">_xlfn.XLOOKUP($B8,BS[Titles],INDIRECT("BS["&amp;D$4&amp;"]"))</f>
        <v>36396.800000000003</v>
      </c>
      <c r="E8" s="11" cm="1">
        <f t="array" aca="1" ref="E8" ca="1">_xlfn.XLOOKUP($B8,BS[Titles],INDIRECT("BS["&amp;E$4&amp;"]"))</f>
        <v>46212</v>
      </c>
      <c r="G8" s="24">
        <f>-G9*'P&amp;L assumptions'!G$21/360</f>
        <v>0</v>
      </c>
      <c r="H8" s="24">
        <f>-H9*'P&amp;L assumptions'!H$21/360</f>
        <v>0</v>
      </c>
      <c r="I8" s="24">
        <f>-I9*'P&amp;L assumptions'!I$21/360</f>
        <v>0</v>
      </c>
      <c r="J8" s="24">
        <f>-J9*'P&amp;L assumptions'!J$21/360</f>
        <v>0</v>
      </c>
      <c r="K8" s="24">
        <f>-K9*'P&amp;L assumptions'!K$21/360</f>
        <v>0</v>
      </c>
    </row>
    <row r="9" spans="2:11">
      <c r="B9" s="13" t="s">
        <v>142</v>
      </c>
      <c r="C9" s="13"/>
      <c r="D9" s="13"/>
      <c r="E9" s="13"/>
      <c r="G9" s="34">
        <f>$E$9</f>
        <v>0</v>
      </c>
      <c r="H9" s="34">
        <f t="shared" ref="H9:K9" si="1">$E$9</f>
        <v>0</v>
      </c>
      <c r="I9" s="34">
        <f t="shared" si="1"/>
        <v>0</v>
      </c>
      <c r="J9" s="34">
        <f t="shared" si="1"/>
        <v>0</v>
      </c>
      <c r="K9" s="34">
        <f t="shared" si="1"/>
        <v>0</v>
      </c>
    </row>
    <row r="10" spans="2:11">
      <c r="C10" s="11"/>
      <c r="D10" s="11"/>
      <c r="E10" s="11"/>
      <c r="G10" s="17"/>
      <c r="H10" s="17"/>
      <c r="I10" s="17"/>
      <c r="J10" s="17"/>
      <c r="K10" s="17"/>
    </row>
    <row r="11" spans="2:11">
      <c r="B11" s="7" t="s">
        <v>108</v>
      </c>
      <c r="C11" s="11" cm="1">
        <f t="array" aca="1" ref="C11" ca="1">_xlfn.XLOOKUP($B11,BS[Titles],INDIRECT("BS["&amp;C$4&amp;"]"))</f>
        <v>15891.2</v>
      </c>
      <c r="D11" s="11" cm="1">
        <f t="array" aca="1" ref="D11" ca="1">_xlfn.XLOOKUP($B11,BS[Titles],INDIRECT("BS["&amp;D$4&amp;"]"))</f>
        <v>26351.599999999999</v>
      </c>
      <c r="E11" s="11" cm="1">
        <f t="array" aca="1" ref="E11" ca="1">_xlfn.XLOOKUP($B11,BS[Titles],INDIRECT("BS["&amp;E$4&amp;"]"))</f>
        <v>36189.599999999999</v>
      </c>
      <c r="G11" s="24">
        <f>-G12*'P&amp;L assumptions'!G$21/360</f>
        <v>0</v>
      </c>
      <c r="H11" s="24">
        <f>-H12*'P&amp;L assumptions'!H$21/360</f>
        <v>0</v>
      </c>
      <c r="I11" s="24">
        <f>-I12*'P&amp;L assumptions'!I$21/360</f>
        <v>0</v>
      </c>
      <c r="J11" s="24">
        <f>-J12*'P&amp;L assumptions'!J$21/360</f>
        <v>0</v>
      </c>
      <c r="K11" s="24">
        <f>-K12*'P&amp;L assumptions'!K$21/360</f>
        <v>0</v>
      </c>
    </row>
    <row r="12" spans="2:11">
      <c r="B12" s="13" t="s">
        <v>143</v>
      </c>
      <c r="C12" s="13"/>
      <c r="D12" s="13"/>
      <c r="E12" s="13"/>
      <c r="G12" s="34">
        <f>$E$12</f>
        <v>0</v>
      </c>
      <c r="H12" s="34">
        <f t="shared" ref="H12:K12" si="2">$E$12</f>
        <v>0</v>
      </c>
      <c r="I12" s="34">
        <f t="shared" si="2"/>
        <v>0</v>
      </c>
      <c r="J12" s="34">
        <f t="shared" si="2"/>
        <v>0</v>
      </c>
      <c r="K12" s="34">
        <f t="shared" si="2"/>
        <v>0</v>
      </c>
    </row>
    <row r="13" spans="2:11">
      <c r="C13" s="11"/>
      <c r="D13" s="11"/>
      <c r="E13" s="11"/>
      <c r="G13" s="17"/>
      <c r="H13" s="17"/>
      <c r="I13" s="17"/>
      <c r="J13" s="17"/>
      <c r="K13" s="17"/>
    </row>
    <row r="14" spans="2:11">
      <c r="B14" s="7" t="s">
        <v>34</v>
      </c>
      <c r="C14" s="11" cm="1">
        <f t="array" aca="1" ref="C14" ca="1">_xlfn.XLOOKUP($B14,BS[Titles],INDIRECT("BS["&amp;C$4&amp;"]"))</f>
        <v>45106.400000000001</v>
      </c>
      <c r="D14" s="11" cm="1">
        <f t="array" aca="1" ref="D14" ca="1">_xlfn.XLOOKUP($B14,BS[Titles],INDIRECT("BS["&amp;D$4&amp;"]"))</f>
        <v>49072.4</v>
      </c>
      <c r="E14" s="11" cm="1">
        <f t="array" aca="1" ref="E14" ca="1">_xlfn.XLOOKUP($B14,BS[Titles],INDIRECT("BS["&amp;E$4&amp;"]"))</f>
        <v>56109.2</v>
      </c>
      <c r="G14" s="24"/>
      <c r="H14" s="24"/>
      <c r="I14" s="24"/>
      <c r="J14" s="24"/>
      <c r="K14" s="24"/>
    </row>
    <row r="15" spans="2:11">
      <c r="B15" s="13" t="s">
        <v>94</v>
      </c>
      <c r="C15" s="33"/>
      <c r="D15" s="33"/>
      <c r="E15" s="33"/>
      <c r="G15" s="23"/>
      <c r="H15" s="23"/>
      <c r="I15" s="23"/>
      <c r="J15" s="23"/>
      <c r="K15" s="23"/>
    </row>
    <row r="16" spans="2:11">
      <c r="C16" s="11"/>
      <c r="D16" s="11"/>
      <c r="E16" s="11"/>
      <c r="G16" s="17"/>
      <c r="H16" s="17"/>
      <c r="I16" s="17"/>
      <c r="J16" s="17"/>
      <c r="K16" s="17"/>
    </row>
    <row r="17" spans="2:11">
      <c r="B17" s="7" t="s">
        <v>25</v>
      </c>
      <c r="C17" s="11" cm="1">
        <f t="array" aca="1" ref="C17" ca="1">_xlfn.XLOOKUP($B17,BS[Titles],INDIRECT("BS["&amp;C$4&amp;"]"))</f>
        <v>8841.6</v>
      </c>
      <c r="D17" s="11" cm="1">
        <f t="array" aca="1" ref="D17" ca="1">_xlfn.XLOOKUP($B17,BS[Titles],INDIRECT("BS["&amp;D$4&amp;"]"))</f>
        <v>11359.199999999999</v>
      </c>
      <c r="E17" s="11" cm="1">
        <f t="array" aca="1" ref="E17" ca="1">_xlfn.XLOOKUP($B17,BS[Titles],INDIRECT("BS["&amp;E$4&amp;"]"))</f>
        <v>17602.8</v>
      </c>
      <c r="G17" s="24"/>
      <c r="H17" s="24"/>
      <c r="I17" s="24"/>
      <c r="J17" s="24"/>
      <c r="K17" s="24"/>
    </row>
    <row r="18" spans="2:11">
      <c r="B18" s="13" t="s">
        <v>94</v>
      </c>
      <c r="C18" s="33"/>
      <c r="D18" s="33"/>
      <c r="E18" s="33"/>
      <c r="G18" s="23"/>
      <c r="H18" s="23"/>
      <c r="I18" s="23"/>
      <c r="J18" s="23"/>
      <c r="K18" s="23"/>
    </row>
    <row r="19" spans="2:11">
      <c r="C19" s="11"/>
      <c r="D19" s="11"/>
      <c r="E19" s="11"/>
      <c r="G19" s="17"/>
      <c r="H19" s="17"/>
      <c r="I19" s="17"/>
      <c r="J19" s="17"/>
      <c r="K19" s="17"/>
    </row>
    <row r="20" spans="2:11">
      <c r="B20" s="7" t="s">
        <v>35</v>
      </c>
      <c r="C20" s="11" cm="1">
        <f t="array" aca="1" ref="C20" ca="1">_xlfn.XLOOKUP($B20,BS[Titles],INDIRECT("BS["&amp;C$4&amp;"]"))</f>
        <v>5969.0386669999998</v>
      </c>
      <c r="D20" s="11" cm="1">
        <f t="array" aca="1" ref="D20" ca="1">_xlfn.XLOOKUP($B20,BS[Titles],INDIRECT("BS["&amp;D$4&amp;"]"))</f>
        <v>5800.3559999999998</v>
      </c>
      <c r="E20" s="11" cm="1">
        <f t="array" aca="1" ref="E20" ca="1">_xlfn.XLOOKUP($B20,BS[Titles],INDIRECT("BS["&amp;E$4&amp;"]"))</f>
        <v>8473.44642539704</v>
      </c>
      <c r="G20" s="24"/>
      <c r="H20" s="24"/>
      <c r="I20" s="24"/>
      <c r="J20" s="24"/>
      <c r="K20" s="24"/>
    </row>
    <row r="21" spans="2:11">
      <c r="B21" s="13" t="s">
        <v>94</v>
      </c>
      <c r="C21" s="33"/>
      <c r="D21" s="33"/>
      <c r="E21" s="33"/>
      <c r="G21" s="23"/>
      <c r="H21" s="23"/>
      <c r="I21" s="23"/>
      <c r="J21" s="23"/>
      <c r="K21" s="2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zoomScale="130" zoomScaleNormal="130" workbookViewId="0">
      <selection activeCell="M22" sqref="M22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50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L51"/>
  <sheetViews>
    <sheetView zoomScale="130" zoomScaleNormal="130" workbookViewId="0">
      <selection activeCell="O21" sqref="O21"/>
    </sheetView>
  </sheetViews>
  <sheetFormatPr baseColWidth="10" defaultColWidth="9.1640625" defaultRowHeight="12"/>
  <cols>
    <col min="1" max="1" width="2" style="7" customWidth="1"/>
    <col min="2" max="2" width="18.33203125" style="7" bestFit="1" customWidth="1"/>
    <col min="3" max="3" width="10.5" style="7" bestFit="1" customWidth="1"/>
    <col min="4" max="5" width="9.1640625" style="7"/>
    <col min="6" max="6" width="10.5" style="7" bestFit="1" customWidth="1"/>
    <col min="7" max="10" width="9.1640625" style="7"/>
    <col min="11" max="11" width="2" style="7" customWidth="1"/>
    <col min="12" max="16384" width="9.1640625" style="7"/>
  </cols>
  <sheetData>
    <row r="1" spans="2:12" ht="16">
      <c r="B1" s="6" t="s">
        <v>6</v>
      </c>
    </row>
    <row r="2" spans="2:12">
      <c r="B2" s="93" t="s">
        <v>161</v>
      </c>
    </row>
    <row r="3" spans="2:12" ht="31" customHeight="1" thickBot="1">
      <c r="B3" s="14" t="s">
        <v>156</v>
      </c>
      <c r="C3" s="15" t="s">
        <v>153</v>
      </c>
      <c r="D3" s="15" t="s">
        <v>154</v>
      </c>
      <c r="E3" s="15" t="s">
        <v>155</v>
      </c>
      <c r="F3" s="16" t="s">
        <v>62</v>
      </c>
      <c r="G3" s="16" t="s">
        <v>63</v>
      </c>
      <c r="H3" s="16" t="s">
        <v>64</v>
      </c>
      <c r="I3" s="16" t="s">
        <v>65</v>
      </c>
      <c r="J3" s="16" t="s">
        <v>66</v>
      </c>
      <c r="L3" s="19" t="s">
        <v>45</v>
      </c>
    </row>
    <row r="4" spans="2:12">
      <c r="B4" s="7" t="s">
        <v>58</v>
      </c>
      <c r="C4" s="11" cm="1">
        <f t="array" aca="1" ref="C4" ca="1">_xlfn.XLOOKUP($B4,IS[Titles],INDIRECT("IS["&amp;C$3&amp;"]"))</f>
        <v>177203</v>
      </c>
      <c r="D4" s="11" cm="1">
        <f t="array" aca="1" ref="D4" ca="1">_xlfn.XLOOKUP($B4,IS[Titles],INDIRECT("IS["&amp;D$3&amp;"]"))</f>
        <v>188618</v>
      </c>
      <c r="E4" s="11" cm="1">
        <f t="array" aca="1" ref="E4" ca="1">_xlfn.XLOOKUP($B4,IS[Titles],INDIRECT("IS["&amp;E$3&amp;"]"))</f>
        <v>208366</v>
      </c>
      <c r="F4" s="24">
        <f>SUMIF('P&amp;L assumptions'!$B:$B,'P&amp;L'!$B4,'P&amp;L assumptions'!G:G)</f>
        <v>0</v>
      </c>
      <c r="G4" s="24">
        <f>SUMIF('P&amp;L assumptions'!$B:$B,'P&amp;L'!$B4,'P&amp;L assumptions'!H:H)</f>
        <v>0</v>
      </c>
      <c r="H4" s="24">
        <f>SUMIF('P&amp;L assumptions'!$B:$B,'P&amp;L'!$B4,'P&amp;L assumptions'!I:I)</f>
        <v>0</v>
      </c>
      <c r="I4" s="24">
        <f>SUMIF('P&amp;L assumptions'!$B:$B,'P&amp;L'!$B4,'P&amp;L assumptions'!J:J)</f>
        <v>0</v>
      </c>
      <c r="J4" s="24">
        <f>SUMIF('P&amp;L assumptions'!$B:$B,'P&amp;L'!$B4,'P&amp;L assumptions'!K:K)</f>
        <v>0</v>
      </c>
    </row>
    <row r="5" spans="2:12">
      <c r="B5" s="7" t="s">
        <v>84</v>
      </c>
      <c r="C5" s="11" cm="1">
        <f t="array" aca="1" ref="C5" ca="1">_xlfn.XLOOKUP($B5,IS[Titles],INDIRECT("IS["&amp;C$3&amp;"]"))</f>
        <v>3520</v>
      </c>
      <c r="D5" s="11" cm="1">
        <f t="array" aca="1" ref="D5" ca="1">_xlfn.XLOOKUP($B5,IS[Titles],INDIRECT("IS["&amp;D$3&amp;"]"))</f>
        <v>2416</v>
      </c>
      <c r="E5" s="11" cm="1">
        <f t="array" aca="1" ref="E5" ca="1">_xlfn.XLOOKUP($B5,IS[Titles],INDIRECT("IS["&amp;E$3&amp;"]"))</f>
        <v>2585</v>
      </c>
      <c r="F5" s="24">
        <f>SUMIF('P&amp;L assumptions'!$B:$B,'P&amp;L'!$B5,'P&amp;L assumptions'!G:G)</f>
        <v>0</v>
      </c>
      <c r="G5" s="24">
        <f>SUMIF('P&amp;L assumptions'!$B:$B,'P&amp;L'!$B5,'P&amp;L assumptions'!H:H)</f>
        <v>0</v>
      </c>
      <c r="H5" s="24">
        <f>SUMIF('P&amp;L assumptions'!$B:$B,'P&amp;L'!$B5,'P&amp;L assumptions'!I:I)</f>
        <v>0</v>
      </c>
      <c r="I5" s="24">
        <f>SUMIF('P&amp;L assumptions'!$B:$B,'P&amp;L'!$B5,'P&amp;L assumptions'!J:J)</f>
        <v>0</v>
      </c>
      <c r="J5" s="24">
        <f>SUMIF('P&amp;L assumptions'!$B:$B,'P&amp;L'!$B5,'P&amp;L assumptions'!K:K)</f>
        <v>0</v>
      </c>
    </row>
    <row r="6" spans="2:12">
      <c r="B6" s="45" t="s">
        <v>98</v>
      </c>
      <c r="C6" s="46">
        <f ca="1">C4+C5</f>
        <v>180723</v>
      </c>
      <c r="D6" s="46">
        <f t="shared" ref="D6:J6" ca="1" si="0">D4+D5</f>
        <v>191034</v>
      </c>
      <c r="E6" s="46">
        <f t="shared" ca="1" si="0"/>
        <v>210951</v>
      </c>
      <c r="F6" s="47">
        <f t="shared" si="0"/>
        <v>0</v>
      </c>
      <c r="G6" s="47">
        <f t="shared" si="0"/>
        <v>0</v>
      </c>
      <c r="H6" s="47">
        <f t="shared" si="0"/>
        <v>0</v>
      </c>
      <c r="I6" s="47">
        <f t="shared" si="0"/>
        <v>0</v>
      </c>
      <c r="J6" s="47">
        <f t="shared" si="0"/>
        <v>0</v>
      </c>
    </row>
    <row r="7" spans="2:12">
      <c r="B7" s="7" t="s">
        <v>89</v>
      </c>
      <c r="C7" s="11" cm="1">
        <f t="array" aca="1" ref="C7" ca="1">_xlfn.XLOOKUP($B7,IS[Titles],INDIRECT("IS["&amp;C$3&amp;"]"))</f>
        <v>-142394.36746666671</v>
      </c>
      <c r="D7" s="11" cm="1">
        <f t="array" aca="1" ref="D7" ca="1">_xlfn.XLOOKUP($B7,IS[Titles],INDIRECT("IS["&amp;D$3&amp;"]"))</f>
        <v>-150572.16639999999</v>
      </c>
      <c r="E7" s="11" cm="1">
        <f t="array" aca="1" ref="E7" ca="1">_xlfn.XLOOKUP($B7,IS[Titles],INDIRECT("IS["&amp;E$3&amp;"]"))</f>
        <v>-157523.118425397</v>
      </c>
      <c r="F7" s="24">
        <f>SUMIF('P&amp;L assumptions'!$B:$B,'P&amp;L'!$B7,'P&amp;L assumptions'!G:G)</f>
        <v>0</v>
      </c>
      <c r="G7" s="24">
        <f>SUMIF('P&amp;L assumptions'!$B:$B,'P&amp;L'!$B7,'P&amp;L assumptions'!H:H)</f>
        <v>0</v>
      </c>
      <c r="H7" s="24">
        <f>SUMIF('P&amp;L assumptions'!$B:$B,'P&amp;L'!$B7,'P&amp;L assumptions'!I:I)</f>
        <v>0</v>
      </c>
      <c r="I7" s="24">
        <f>SUMIF('P&amp;L assumptions'!$B:$B,'P&amp;L'!$B7,'P&amp;L assumptions'!J:J)</f>
        <v>0</v>
      </c>
      <c r="J7" s="24">
        <f>SUMIF('P&amp;L assumptions'!$B:$B,'P&amp;L'!$B7,'P&amp;L assumptions'!K:K)</f>
        <v>0</v>
      </c>
    </row>
    <row r="8" spans="2:12">
      <c r="B8" s="45" t="s">
        <v>96</v>
      </c>
      <c r="C8" s="46">
        <f t="shared" ref="C8:J8" ca="1" si="1">C6+C7</f>
        <v>38328.632533333293</v>
      </c>
      <c r="D8" s="46">
        <f t="shared" ca="1" si="1"/>
        <v>40461.833600000013</v>
      </c>
      <c r="E8" s="46">
        <f t="shared" ca="1" si="1"/>
        <v>53427.881574603001</v>
      </c>
      <c r="F8" s="47">
        <f t="shared" si="1"/>
        <v>0</v>
      </c>
      <c r="G8" s="47">
        <f t="shared" si="1"/>
        <v>0</v>
      </c>
      <c r="H8" s="47">
        <f t="shared" si="1"/>
        <v>0</v>
      </c>
      <c r="I8" s="47">
        <f t="shared" si="1"/>
        <v>0</v>
      </c>
      <c r="J8" s="47">
        <f t="shared" si="1"/>
        <v>0</v>
      </c>
    </row>
    <row r="9" spans="2:12">
      <c r="B9" s="7" t="s">
        <v>91</v>
      </c>
      <c r="C9" s="11" cm="1">
        <f t="array" aca="1" ref="C9" ca="1">_xlfn.XLOOKUP($B9,IS[Titles],INDIRECT("IS["&amp;C$3&amp;"]"))</f>
        <v>-18011.315200000005</v>
      </c>
      <c r="D9" s="11" cm="1">
        <f t="array" aca="1" ref="D9" ca="1">_xlfn.XLOOKUP($B9,IS[Titles],INDIRECT("IS["&amp;D$3&amp;"]"))</f>
        <v>-19247.897599999997</v>
      </c>
      <c r="E9" s="11" cm="1">
        <f t="array" aca="1" ref="E9" ca="1">_xlfn.XLOOKUP($B9,IS[Titles],INDIRECT("IS["&amp;E$3&amp;"]"))</f>
        <v>-23867.008000000009</v>
      </c>
      <c r="F9" s="24">
        <f>SUMIF('P&amp;L assumptions'!$B:$B,'P&amp;L'!$B9,'P&amp;L assumptions'!G:G)</f>
        <v>0</v>
      </c>
      <c r="G9" s="24">
        <f>SUMIF('P&amp;L assumptions'!$B:$B,'P&amp;L'!$B9,'P&amp;L assumptions'!H:H)</f>
        <v>0</v>
      </c>
      <c r="H9" s="24">
        <f>SUMIF('P&amp;L assumptions'!$B:$B,'P&amp;L'!$B9,'P&amp;L assumptions'!I:I)</f>
        <v>0</v>
      </c>
      <c r="I9" s="24">
        <f>SUMIF('P&amp;L assumptions'!$B:$B,'P&amp;L'!$B9,'P&amp;L assumptions'!J:J)</f>
        <v>0</v>
      </c>
      <c r="J9" s="24">
        <f>SUMIF('P&amp;L assumptions'!$B:$B,'P&amp;L'!$B9,'P&amp;L assumptions'!K:K)</f>
        <v>0</v>
      </c>
    </row>
    <row r="10" spans="2:12">
      <c r="B10" s="45" t="s">
        <v>12</v>
      </c>
      <c r="C10" s="46">
        <f t="shared" ref="C10:J10" ca="1" si="2">C8+C9</f>
        <v>20317.317333333289</v>
      </c>
      <c r="D10" s="46">
        <f t="shared" ca="1" si="2"/>
        <v>21213.936000000016</v>
      </c>
      <c r="E10" s="46">
        <f t="shared" ca="1" si="2"/>
        <v>29560.873574602992</v>
      </c>
      <c r="F10" s="47">
        <f t="shared" si="2"/>
        <v>0</v>
      </c>
      <c r="G10" s="47">
        <f t="shared" si="2"/>
        <v>0</v>
      </c>
      <c r="H10" s="47">
        <f t="shared" si="2"/>
        <v>0</v>
      </c>
      <c r="I10" s="47">
        <f t="shared" si="2"/>
        <v>0</v>
      </c>
      <c r="J10" s="47">
        <f t="shared" si="2"/>
        <v>0</v>
      </c>
    </row>
    <row r="11" spans="2:12">
      <c r="B11" s="7" t="s">
        <v>13</v>
      </c>
      <c r="C11" s="11" cm="1">
        <f t="array" aca="1" ref="C11" ca="1">_xlfn.XLOOKUP($B11,IS[Titles],INDIRECT("IS["&amp;C$3&amp;"]"))</f>
        <v>-2907.8000000000006</v>
      </c>
      <c r="D11" s="11" cm="1">
        <f t="array" aca="1" ref="D11" ca="1">_xlfn.XLOOKUP($B11,IS[Titles],INDIRECT("IS["&amp;D$3&amp;"]"))</f>
        <v>-4649.8</v>
      </c>
      <c r="E11" s="11" cm="1">
        <f t="array" aca="1" ref="E11" ca="1">_xlfn.XLOOKUP($B11,IS[Titles],INDIRECT("IS["&amp;E$3&amp;"]"))</f>
        <v>-6430.6600000000008</v>
      </c>
      <c r="F11" s="24">
        <f>SUMIF('P&amp;L assumptions'!$B:$B,'P&amp;L'!$B11,'P&amp;L assumptions'!G:G)</f>
        <v>0</v>
      </c>
      <c r="G11" s="24">
        <f>SUMIF('P&amp;L assumptions'!$B:$B,'P&amp;L'!$B11,'P&amp;L assumptions'!H:H)</f>
        <v>0</v>
      </c>
      <c r="H11" s="24">
        <f>SUMIF('P&amp;L assumptions'!$B:$B,'P&amp;L'!$B11,'P&amp;L assumptions'!I:I)</f>
        <v>0</v>
      </c>
      <c r="I11" s="24">
        <f>SUMIF('P&amp;L assumptions'!$B:$B,'P&amp;L'!$B11,'P&amp;L assumptions'!J:J)</f>
        <v>0</v>
      </c>
      <c r="J11" s="24">
        <f>SUMIF('P&amp;L assumptions'!$B:$B,'P&amp;L'!$B11,'P&amp;L assumptions'!K:K)</f>
        <v>0</v>
      </c>
    </row>
    <row r="12" spans="2:12">
      <c r="B12" s="45" t="s">
        <v>14</v>
      </c>
      <c r="C12" s="46">
        <f t="shared" ref="C12:J12" ca="1" si="3">C10+C11</f>
        <v>17409.51733333329</v>
      </c>
      <c r="D12" s="46">
        <f t="shared" ca="1" si="3"/>
        <v>16564.136000000017</v>
      </c>
      <c r="E12" s="46">
        <f t="shared" ca="1" si="3"/>
        <v>23130.213574602993</v>
      </c>
      <c r="F12" s="47">
        <f t="shared" si="3"/>
        <v>0</v>
      </c>
      <c r="G12" s="47">
        <f t="shared" si="3"/>
        <v>0</v>
      </c>
      <c r="H12" s="47">
        <f t="shared" si="3"/>
        <v>0</v>
      </c>
      <c r="I12" s="47">
        <f t="shared" si="3"/>
        <v>0</v>
      </c>
      <c r="J12" s="47">
        <f t="shared" si="3"/>
        <v>0</v>
      </c>
    </row>
    <row r="13" spans="2:12" ht="12" customHeight="1">
      <c r="B13" s="7" t="s">
        <v>92</v>
      </c>
      <c r="C13" s="11" cm="1">
        <f t="array" aca="1" ref="C13" ca="1">_xlfn.XLOOKUP($B13,IS[Titles],INDIRECT("IS["&amp;C$3&amp;"]"))</f>
        <v>-1266.3000000000002</v>
      </c>
      <c r="D13" s="11" cm="1">
        <f t="array" aca="1" ref="D13" ca="1">_xlfn.XLOOKUP($B13,IS[Titles],INDIRECT("IS["&amp;D$3&amp;"]"))</f>
        <v>-2190.9</v>
      </c>
      <c r="E13" s="11" cm="1">
        <f t="array" aca="1" ref="E13" ca="1">_xlfn.XLOOKUP($B13,IS[Titles],INDIRECT("IS["&amp;E$3&amp;"]"))</f>
        <v>-2663.92</v>
      </c>
      <c r="F13" s="24">
        <f>SUMIF('P&amp;L assumptions'!$B:$B,'P&amp;L'!$B13,'P&amp;L assumptions'!G:G)</f>
        <v>0</v>
      </c>
      <c r="G13" s="24">
        <f>SUMIF('P&amp;L assumptions'!$B:$B,'P&amp;L'!$B13,'P&amp;L assumptions'!H:H)</f>
        <v>0</v>
      </c>
      <c r="H13" s="24">
        <f>SUMIF('P&amp;L assumptions'!$B:$B,'P&amp;L'!$B13,'P&amp;L assumptions'!I:I)</f>
        <v>0</v>
      </c>
      <c r="I13" s="24">
        <f>SUMIF('P&amp;L assumptions'!$B:$B,'P&amp;L'!$B13,'P&amp;L assumptions'!J:J)</f>
        <v>0</v>
      </c>
      <c r="J13" s="24">
        <f>SUMIF('P&amp;L assumptions'!$B:$B,'P&amp;L'!$B13,'P&amp;L assumptions'!K:K)</f>
        <v>0</v>
      </c>
    </row>
    <row r="14" spans="2:12" ht="12" customHeight="1">
      <c r="B14" s="7" t="s">
        <v>15</v>
      </c>
      <c r="C14" s="11" cm="1">
        <f t="array" aca="1" ref="C14" ca="1">_xlfn.XLOOKUP($B14,IS[Titles],INDIRECT("IS["&amp;C$3&amp;"]"))</f>
        <v>-317.58000000000004</v>
      </c>
      <c r="D14" s="11" cm="1">
        <f t="array" aca="1" ref="D14" ca="1">_xlfn.XLOOKUP($B14,IS[Titles],INDIRECT("IS["&amp;D$3&amp;"]"))</f>
        <v>-864.30000000000007</v>
      </c>
      <c r="E14" s="11" cm="1">
        <f t="array" aca="1" ref="E14" ca="1">_xlfn.XLOOKUP($B14,IS[Titles],INDIRECT("IS["&amp;E$3&amp;"]"))</f>
        <v>-320.26</v>
      </c>
      <c r="F14" s="24">
        <f>SUMIF('P&amp;L assumptions'!$B:$B,'P&amp;L'!$B14,'P&amp;L assumptions'!G:G)</f>
        <v>0</v>
      </c>
      <c r="G14" s="24">
        <f>SUMIF('P&amp;L assumptions'!$B:$B,'P&amp;L'!$B14,'P&amp;L assumptions'!H:H)</f>
        <v>0</v>
      </c>
      <c r="H14" s="24">
        <f>SUMIF('P&amp;L assumptions'!$B:$B,'P&amp;L'!$B14,'P&amp;L assumptions'!I:I)</f>
        <v>0</v>
      </c>
      <c r="I14" s="24">
        <f>SUMIF('P&amp;L assumptions'!$B:$B,'P&amp;L'!$B14,'P&amp;L assumptions'!J:J)</f>
        <v>0</v>
      </c>
      <c r="J14" s="24">
        <f>SUMIF('P&amp;L assumptions'!$B:$B,'P&amp;L'!$B14,'P&amp;L assumptions'!K:K)</f>
        <v>0</v>
      </c>
    </row>
    <row r="15" spans="2:12">
      <c r="B15" s="45" t="s">
        <v>16</v>
      </c>
      <c r="C15" s="46">
        <f t="shared" ref="C15:J15" ca="1" si="4">C12+C13+C14</f>
        <v>15825.63733333329</v>
      </c>
      <c r="D15" s="46">
        <f t="shared" ca="1" si="4"/>
        <v>13508.936000000018</v>
      </c>
      <c r="E15" s="46">
        <f t="shared" ca="1" si="4"/>
        <v>20146.033574602992</v>
      </c>
      <c r="F15" s="47">
        <f t="shared" si="4"/>
        <v>0</v>
      </c>
      <c r="G15" s="47">
        <f t="shared" si="4"/>
        <v>0</v>
      </c>
      <c r="H15" s="47">
        <f t="shared" si="4"/>
        <v>0</v>
      </c>
      <c r="I15" s="47">
        <f t="shared" si="4"/>
        <v>0</v>
      </c>
      <c r="J15" s="47">
        <f t="shared" si="4"/>
        <v>0</v>
      </c>
    </row>
    <row r="16" spans="2:12">
      <c r="B16" s="7" t="s">
        <v>95</v>
      </c>
      <c r="C16" s="21">
        <f ca="1">C17/C15</f>
        <v>-0.24048168928931246</v>
      </c>
      <c r="D16" s="21">
        <f ca="1">D17/D15</f>
        <v>-0.22579069143565386</v>
      </c>
      <c r="E16" s="21">
        <f ca="1">E17/E15</f>
        <v>-0.18936134430001206</v>
      </c>
      <c r="F16" s="23">
        <f>'P&amp;L assumptions'!G52</f>
        <v>0</v>
      </c>
      <c r="G16" s="23">
        <f>'P&amp;L assumptions'!H52</f>
        <v>0</v>
      </c>
      <c r="H16" s="23">
        <f>'P&amp;L assumptions'!I52</f>
        <v>0</v>
      </c>
      <c r="I16" s="23">
        <f>'P&amp;L assumptions'!J52</f>
        <v>0</v>
      </c>
      <c r="J16" s="23">
        <f>'P&amp;L assumptions'!K52</f>
        <v>0</v>
      </c>
    </row>
    <row r="17" spans="2:10">
      <c r="B17" s="7" t="s">
        <v>17</v>
      </c>
      <c r="C17" s="11" cm="1">
        <f t="array" aca="1" ref="C17" ca="1">_xlfn.XLOOKUP($B17,IS[Titles],INDIRECT("IS["&amp;C$3&amp;"]"))</f>
        <v>-3805.7759999999998</v>
      </c>
      <c r="D17" s="11" cm="1">
        <f t="array" aca="1" ref="D17" ca="1">_xlfn.XLOOKUP($B17,IS[Titles],INDIRECT("IS["&amp;D$3&amp;"]"))</f>
        <v>-3050.192</v>
      </c>
      <c r="E17" s="11" cm="1">
        <f t="array" aca="1" ref="E17" ca="1">_xlfn.XLOOKUP($B17,IS[Titles],INDIRECT("IS["&amp;E$3&amp;"]"))</f>
        <v>-3814.88</v>
      </c>
      <c r="F17" s="24">
        <f>F15*F16</f>
        <v>0</v>
      </c>
      <c r="G17" s="24">
        <f>G15*G16</f>
        <v>0</v>
      </c>
      <c r="H17" s="24">
        <f>H15*H16</f>
        <v>0</v>
      </c>
      <c r="I17" s="24">
        <f>I15*I16</f>
        <v>0</v>
      </c>
      <c r="J17" s="24">
        <f>J15*J16</f>
        <v>0</v>
      </c>
    </row>
    <row r="18" spans="2:10">
      <c r="C18" s="11"/>
      <c r="D18" s="11"/>
      <c r="E18" s="11"/>
      <c r="F18" s="17"/>
      <c r="G18" s="17"/>
      <c r="H18" s="17"/>
      <c r="I18" s="17"/>
      <c r="J18" s="17"/>
    </row>
    <row r="19" spans="2:10">
      <c r="B19" s="48" t="s">
        <v>97</v>
      </c>
      <c r="C19" s="49">
        <f t="shared" ref="C19:J19" ca="1" si="5">C15+C17</f>
        <v>12019.861333333291</v>
      </c>
      <c r="D19" s="49">
        <f t="shared" ca="1" si="5"/>
        <v>10458.744000000017</v>
      </c>
      <c r="E19" s="49">
        <f t="shared" ca="1" si="5"/>
        <v>16331.153574602991</v>
      </c>
      <c r="F19" s="49">
        <f t="shared" si="5"/>
        <v>0</v>
      </c>
      <c r="G19" s="49">
        <f t="shared" si="5"/>
        <v>0</v>
      </c>
      <c r="H19" s="49">
        <f t="shared" si="5"/>
        <v>0</v>
      </c>
      <c r="I19" s="49">
        <f t="shared" si="5"/>
        <v>0</v>
      </c>
      <c r="J19" s="49">
        <f t="shared" si="5"/>
        <v>0</v>
      </c>
    </row>
    <row r="20" spans="2:10">
      <c r="C20" s="11"/>
      <c r="D20" s="11"/>
      <c r="E20" s="11"/>
    </row>
    <row r="21" spans="2:10">
      <c r="C21" s="11"/>
      <c r="D21" s="11"/>
      <c r="E21" s="11"/>
    </row>
    <row r="22" spans="2:10">
      <c r="C22" s="11"/>
      <c r="D22" s="11"/>
      <c r="E22" s="11"/>
    </row>
    <row r="23" spans="2:10">
      <c r="C23" s="11"/>
      <c r="D23" s="11"/>
      <c r="E23" s="11"/>
    </row>
    <row r="51" spans="2:2">
      <c r="B51" s="7">
        <v>1</v>
      </c>
    </row>
  </sheetData>
  <pageMargins left="0.7" right="0.7" top="0.75" bottom="0.75" header="0.3" footer="0.3"/>
  <pageSetup orientation="portrait" r:id="rId1"/>
  <ignoredErrors>
    <ignoredError sqref="C6:E12 F7:J11" formula="1"/>
  </ignoredError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L19"/>
  <sheetViews>
    <sheetView zoomScale="130" zoomScaleNormal="130" workbookViewId="0">
      <selection activeCell="D7" sqref="D7"/>
    </sheetView>
  </sheetViews>
  <sheetFormatPr baseColWidth="10" defaultColWidth="9.1640625" defaultRowHeight="12"/>
  <cols>
    <col min="1" max="1" width="2" style="7" customWidth="1"/>
    <col min="2" max="2" width="22.6640625" style="7" bestFit="1" customWidth="1"/>
    <col min="3" max="3" width="9.1640625" style="7"/>
    <col min="4" max="4" width="9.5" style="7" bestFit="1" customWidth="1"/>
    <col min="5" max="10" width="9.1640625" style="7"/>
    <col min="11" max="11" width="2" style="7" customWidth="1"/>
    <col min="12" max="16384" width="9.1640625" style="7"/>
  </cols>
  <sheetData>
    <row r="1" spans="2:12" ht="16">
      <c r="B1" s="6" t="s">
        <v>46</v>
      </c>
    </row>
    <row r="2" spans="2:12">
      <c r="B2" s="7" t="s">
        <v>161</v>
      </c>
    </row>
    <row r="3" spans="2:12" ht="27" thickBot="1">
      <c r="B3" s="14" t="s">
        <v>156</v>
      </c>
      <c r="C3" s="15" t="s">
        <v>67</v>
      </c>
      <c r="D3" s="15" t="s">
        <v>68</v>
      </c>
      <c r="E3" s="15" t="s">
        <v>69</v>
      </c>
      <c r="F3" s="16" t="s">
        <v>70</v>
      </c>
      <c r="G3" s="16" t="s">
        <v>71</v>
      </c>
      <c r="H3" s="16" t="s">
        <v>72</v>
      </c>
      <c r="I3" s="16" t="s">
        <v>73</v>
      </c>
      <c r="J3" s="16" t="s">
        <v>74</v>
      </c>
      <c r="L3" s="19" t="s">
        <v>45</v>
      </c>
    </row>
    <row r="4" spans="2:12">
      <c r="B4" s="7" t="s">
        <v>23</v>
      </c>
      <c r="C4" s="11">
        <f>'BS source'!C4</f>
        <v>5961.6</v>
      </c>
      <c r="D4" s="11">
        <f>'BS source'!D4</f>
        <v>5840</v>
      </c>
      <c r="E4" s="11">
        <f>'BS source'!E4</f>
        <v>5650</v>
      </c>
      <c r="F4" s="24">
        <f>$E$4</f>
        <v>5650</v>
      </c>
      <c r="G4" s="24">
        <f t="shared" ref="G4:J4" si="0">$E$4</f>
        <v>5650</v>
      </c>
      <c r="H4" s="24">
        <f t="shared" si="0"/>
        <v>5650</v>
      </c>
      <c r="I4" s="24">
        <f t="shared" si="0"/>
        <v>5650</v>
      </c>
      <c r="J4" s="24">
        <f t="shared" si="0"/>
        <v>5650</v>
      </c>
      <c r="L4" s="7" t="s">
        <v>103</v>
      </c>
    </row>
    <row r="5" spans="2:12">
      <c r="B5" s="7" t="s">
        <v>34</v>
      </c>
      <c r="C5" s="11">
        <f ca="1">SUMIF('BS assumptions'!$B:$B,BS!$B5,'BS assumptions'!C:C)</f>
        <v>45106.400000000001</v>
      </c>
      <c r="D5" s="11">
        <f ca="1">SUMIF('BS assumptions'!$B:$B,BS!$B5,'BS assumptions'!D:D)</f>
        <v>49072.4</v>
      </c>
      <c r="E5" s="11">
        <f ca="1">SUMIF('BS assumptions'!$B:$B,BS!$B5,'BS assumptions'!E:E)</f>
        <v>56109.2</v>
      </c>
      <c r="F5" s="24">
        <f>SUMIF('BS assumptions'!$B:$B,BS!$B5,'BS assumptions'!G:G)</f>
        <v>0</v>
      </c>
      <c r="G5" s="24">
        <f>SUMIF('BS assumptions'!$B:$B,BS!$B5,'BS assumptions'!H:H)</f>
        <v>0</v>
      </c>
      <c r="H5" s="24">
        <f>SUMIF('BS assumptions'!$B:$B,BS!$B5,'BS assumptions'!I:I)</f>
        <v>0</v>
      </c>
      <c r="I5" s="24">
        <f>SUMIF('BS assumptions'!$B:$B,BS!$B5,'BS assumptions'!J:J)</f>
        <v>0</v>
      </c>
      <c r="J5" s="24">
        <f>SUMIF('BS assumptions'!$B:$B,BS!$B5,'BS assumptions'!K:K)</f>
        <v>0</v>
      </c>
    </row>
    <row r="6" spans="2:12">
      <c r="B6" s="7" t="s">
        <v>40</v>
      </c>
      <c r="C6" s="11">
        <f>'BS source'!C6</f>
        <v>8824</v>
      </c>
      <c r="D6" s="11">
        <f>'BS source'!D6</f>
        <v>9831</v>
      </c>
      <c r="E6" s="11">
        <f>'BS source'!E6</f>
        <v>10323</v>
      </c>
      <c r="F6" s="24">
        <f>$E$6</f>
        <v>10323</v>
      </c>
      <c r="G6" s="24">
        <f t="shared" ref="G6:J6" si="1">$E$6</f>
        <v>10323</v>
      </c>
      <c r="H6" s="24">
        <f t="shared" si="1"/>
        <v>10323</v>
      </c>
      <c r="I6" s="24">
        <f t="shared" si="1"/>
        <v>10323</v>
      </c>
      <c r="J6" s="24">
        <f t="shared" si="1"/>
        <v>10323</v>
      </c>
      <c r="L6" s="7" t="s">
        <v>103</v>
      </c>
    </row>
    <row r="7" spans="2:12">
      <c r="B7" s="7" t="s">
        <v>26</v>
      </c>
      <c r="C7" s="11">
        <f ca="1">SUMIF('BS assumptions'!$B:$B,BS!$B7,'BS assumptions'!C:C)</f>
        <v>31167.200000000001</v>
      </c>
      <c r="D7" s="11">
        <f ca="1">SUMIF('BS assumptions'!$B:$B,BS!$B7,'BS assumptions'!D:D)</f>
        <v>36396.800000000003</v>
      </c>
      <c r="E7" s="11">
        <f ca="1">SUMIF('BS assumptions'!$B:$B,BS!$B7,'BS assumptions'!E:E)</f>
        <v>46212</v>
      </c>
      <c r="F7" s="24">
        <f>SUMIF('BS assumptions'!$B:$B,BS!$B7,'BS assumptions'!G:G)</f>
        <v>0</v>
      </c>
      <c r="G7" s="24">
        <f>SUMIF('BS assumptions'!$B:$B,BS!$B7,'BS assumptions'!H:H)</f>
        <v>0</v>
      </c>
      <c r="H7" s="24">
        <f>SUMIF('BS assumptions'!$B:$B,BS!$B7,'BS assumptions'!I:I)</f>
        <v>0</v>
      </c>
      <c r="I7" s="24">
        <f>SUMIF('BS assumptions'!$B:$B,BS!$B7,'BS assumptions'!J:J)</f>
        <v>0</v>
      </c>
      <c r="J7" s="24">
        <f>SUMIF('BS assumptions'!$B:$B,BS!$B7,'BS assumptions'!K:K)</f>
        <v>0</v>
      </c>
    </row>
    <row r="8" spans="2:12">
      <c r="B8" s="7" t="s">
        <v>24</v>
      </c>
      <c r="C8" s="11">
        <f ca="1">SUMIF('BS assumptions'!$B:$B,BS!$B8,'BS assumptions'!C:C)</f>
        <v>32883.599999999999</v>
      </c>
      <c r="D8" s="11">
        <f ca="1">SUMIF('BS assumptions'!$B:$B,BS!$B8,'BS assumptions'!D:D)</f>
        <v>38556</v>
      </c>
      <c r="E8" s="11">
        <f ca="1">SUMIF('BS assumptions'!$B:$B,BS!$B8,'BS assumptions'!E:E)</f>
        <v>43581.599999999999</v>
      </c>
      <c r="F8" s="24">
        <f>SUMIF('BS assumptions'!$B:$B,BS!$B8,'BS assumptions'!G:G)</f>
        <v>0</v>
      </c>
      <c r="G8" s="24">
        <f>SUMIF('BS assumptions'!$B:$B,BS!$B8,'BS assumptions'!H:H)</f>
        <v>0</v>
      </c>
      <c r="H8" s="24">
        <f>SUMIF('BS assumptions'!$B:$B,BS!$B8,'BS assumptions'!I:I)</f>
        <v>0</v>
      </c>
      <c r="I8" s="24">
        <f>SUMIF('BS assumptions'!$B:$B,BS!$B8,'BS assumptions'!J:J)</f>
        <v>0</v>
      </c>
      <c r="J8" s="24">
        <f>SUMIF('BS assumptions'!$B:$B,BS!$B8,'BS assumptions'!K:K)</f>
        <v>0</v>
      </c>
    </row>
    <row r="9" spans="2:12">
      <c r="B9" s="7" t="s">
        <v>25</v>
      </c>
      <c r="C9" s="11">
        <f ca="1">SUMIF('BS assumptions'!$B:$B,BS!$B9,'BS assumptions'!C:C)</f>
        <v>8841.6</v>
      </c>
      <c r="D9" s="11">
        <f ca="1">SUMIF('BS assumptions'!$B:$B,BS!$B9,'BS assumptions'!D:D)</f>
        <v>11359.199999999999</v>
      </c>
      <c r="E9" s="11">
        <f ca="1">SUMIF('BS assumptions'!$B:$B,BS!$B9,'BS assumptions'!E:E)</f>
        <v>17602.8</v>
      </c>
      <c r="F9" s="24">
        <f>SUMIF('BS assumptions'!$B:$B,BS!$B9,'BS assumptions'!G:G)</f>
        <v>0</v>
      </c>
      <c r="G9" s="24">
        <f>SUMIF('BS assumptions'!$B:$B,BS!$B9,'BS assumptions'!H:H)</f>
        <v>0</v>
      </c>
      <c r="H9" s="24">
        <f>SUMIF('BS assumptions'!$B:$B,BS!$B9,'BS assumptions'!I:I)</f>
        <v>0</v>
      </c>
      <c r="I9" s="24">
        <f>SUMIF('BS assumptions'!$B:$B,BS!$B9,'BS assumptions'!J:J)</f>
        <v>0</v>
      </c>
      <c r="J9" s="24">
        <f>SUMIF('BS assumptions'!$B:$B,BS!$B9,'BS assumptions'!K:K)</f>
        <v>0</v>
      </c>
    </row>
    <row r="10" spans="2:12">
      <c r="B10" s="7" t="s">
        <v>27</v>
      </c>
      <c r="C10" s="11">
        <f>'BS source'!C14</f>
        <v>11791.199999999999</v>
      </c>
      <c r="D10" s="11">
        <f>'BS source'!D14</f>
        <v>19408.8</v>
      </c>
      <c r="E10" s="11">
        <f>'BS source'!E14</f>
        <v>8173.6</v>
      </c>
      <c r="F10" s="24">
        <f ca="1">E10+'Cash Flow'!G29</f>
        <v>127016.15357460297</v>
      </c>
      <c r="G10" s="24">
        <f ca="1">F10+'Cash Flow'!H29</f>
        <v>127016.15357460297</v>
      </c>
      <c r="H10" s="24">
        <f ca="1">G10+'Cash Flow'!I29</f>
        <v>127016.15357460297</v>
      </c>
      <c r="I10" s="24">
        <f ca="1">H10+'Cash Flow'!J29</f>
        <v>127016.15357460297</v>
      </c>
      <c r="J10" s="24">
        <f ca="1">I10+'Cash Flow'!K29</f>
        <v>127016.15357460297</v>
      </c>
    </row>
    <row r="11" spans="2:12" ht="13" thickBot="1">
      <c r="B11" s="50" t="s">
        <v>28</v>
      </c>
      <c r="C11" s="51">
        <f t="shared" ref="C11:J11" ca="1" si="2">SUM(C4:C10)</f>
        <v>144575.6</v>
      </c>
      <c r="D11" s="51">
        <f t="shared" ca="1" si="2"/>
        <v>170464.2</v>
      </c>
      <c r="E11" s="51">
        <f t="shared" ca="1" si="2"/>
        <v>187652.19999999998</v>
      </c>
      <c r="F11" s="52">
        <f t="shared" ca="1" si="2"/>
        <v>142989.15357460297</v>
      </c>
      <c r="G11" s="52">
        <f t="shared" ca="1" si="2"/>
        <v>142989.15357460297</v>
      </c>
      <c r="H11" s="52">
        <f t="shared" ca="1" si="2"/>
        <v>142989.15357460297</v>
      </c>
      <c r="I11" s="52">
        <f t="shared" ca="1" si="2"/>
        <v>142989.15357460297</v>
      </c>
      <c r="J11" s="52">
        <f t="shared" ca="1" si="2"/>
        <v>142989.15357460297</v>
      </c>
    </row>
    <row r="12" spans="2:12">
      <c r="C12" s="11"/>
      <c r="D12" s="11"/>
      <c r="E12" s="11"/>
      <c r="F12" s="24"/>
      <c r="G12" s="24"/>
      <c r="H12" s="24"/>
      <c r="I12" s="24"/>
      <c r="J12" s="24"/>
    </row>
    <row r="13" spans="2:12">
      <c r="B13" s="7" t="s">
        <v>108</v>
      </c>
      <c r="C13" s="11">
        <f ca="1">SUMIF('BS assumptions'!$B:$B,BS!$B13,'BS assumptions'!C:C)</f>
        <v>15891.2</v>
      </c>
      <c r="D13" s="11">
        <f ca="1">SUMIF('BS assumptions'!$B:$B,BS!$B13,'BS assumptions'!D:D)</f>
        <v>26351.599999999999</v>
      </c>
      <c r="E13" s="11">
        <f ca="1">SUMIF('BS assumptions'!$B:$B,BS!$B13,'BS assumptions'!E:E)</f>
        <v>36189.599999999999</v>
      </c>
      <c r="F13" s="24">
        <f>SUMIF('BS assumptions'!$B:$B,BS!$B13,'BS assumptions'!G:G)</f>
        <v>0</v>
      </c>
      <c r="G13" s="24">
        <f>SUMIF('BS assumptions'!$B:$B,BS!$B13,'BS assumptions'!H:H)</f>
        <v>0</v>
      </c>
      <c r="H13" s="24">
        <f>SUMIF('BS assumptions'!$B:$B,BS!$B13,'BS assumptions'!I:I)</f>
        <v>0</v>
      </c>
      <c r="I13" s="24">
        <f>SUMIF('BS assumptions'!$B:$B,BS!$B13,'BS assumptions'!J:J)</f>
        <v>0</v>
      </c>
      <c r="J13" s="24">
        <f>SUMIF('BS assumptions'!$B:$B,BS!$B13,'BS assumptions'!K:K)</f>
        <v>0</v>
      </c>
    </row>
    <row r="14" spans="2:12">
      <c r="B14" s="7" t="s">
        <v>35</v>
      </c>
      <c r="C14" s="11">
        <f ca="1">SUMIF('BS assumptions'!$B:$B,BS!$B14,'BS assumptions'!C:C)</f>
        <v>5969.0386669999998</v>
      </c>
      <c r="D14" s="11">
        <f ca="1">SUMIF('BS assumptions'!$B:$B,BS!$B14,'BS assumptions'!D:D)</f>
        <v>5800.3559999999998</v>
      </c>
      <c r="E14" s="11">
        <f ca="1">SUMIF('BS assumptions'!$B:$B,BS!$B14,'BS assumptions'!E:E)</f>
        <v>8473.44642539704</v>
      </c>
      <c r="F14" s="24">
        <f>SUMIF('BS assumptions'!$B:$B,BS!$B14,'BS assumptions'!G:G)</f>
        <v>0</v>
      </c>
      <c r="G14" s="24">
        <f>SUMIF('BS assumptions'!$B:$B,BS!$B14,'BS assumptions'!H:H)</f>
        <v>0</v>
      </c>
      <c r="H14" s="24">
        <f>SUMIF('BS assumptions'!$B:$B,BS!$B14,'BS assumptions'!I:I)</f>
        <v>0</v>
      </c>
      <c r="I14" s="24">
        <f>SUMIF('BS assumptions'!$B:$B,BS!$B14,'BS assumptions'!J:J)</f>
        <v>0</v>
      </c>
      <c r="J14" s="24">
        <f>SUMIF('BS assumptions'!$B:$B,BS!$B14,'BS assumptions'!K:K)</f>
        <v>0</v>
      </c>
    </row>
    <row r="15" spans="2:12">
      <c r="B15" s="7" t="s">
        <v>99</v>
      </c>
      <c r="C15" s="11">
        <f>'BS source'!C28+'BS source'!C29</f>
        <v>41293.000000000007</v>
      </c>
      <c r="D15" s="11">
        <f>'BS source'!D28+'BS source'!D29</f>
        <v>50645.4</v>
      </c>
      <c r="E15" s="11">
        <f>'BS source'!E28+'BS source'!E29</f>
        <v>51120.799999999996</v>
      </c>
      <c r="F15" s="24">
        <f>$E$15</f>
        <v>51120.799999999996</v>
      </c>
      <c r="G15" s="24">
        <f t="shared" ref="G15:J15" si="3">$E$15</f>
        <v>51120.799999999996</v>
      </c>
      <c r="H15" s="24">
        <f t="shared" si="3"/>
        <v>51120.799999999996</v>
      </c>
      <c r="I15" s="24">
        <f t="shared" si="3"/>
        <v>51120.799999999996</v>
      </c>
      <c r="J15" s="24">
        <f t="shared" si="3"/>
        <v>51120.799999999996</v>
      </c>
      <c r="L15" s="7" t="s">
        <v>103</v>
      </c>
    </row>
    <row r="16" spans="2:12">
      <c r="B16" s="7" t="s">
        <v>100</v>
      </c>
      <c r="C16" s="11">
        <f>'BS source'!C23</f>
        <v>81422.361333333276</v>
      </c>
      <c r="D16" s="11">
        <f>'BS source'!D23</f>
        <v>87666.844000000026</v>
      </c>
      <c r="E16" s="11">
        <f>'BS source'!E23</f>
        <v>91868.353574602996</v>
      </c>
      <c r="F16" s="24">
        <f>E16+'P&amp;L'!F19</f>
        <v>91868.353574602996</v>
      </c>
      <c r="G16" s="24">
        <f>F16+'P&amp;L'!G19</f>
        <v>91868.353574602996</v>
      </c>
      <c r="H16" s="24">
        <f>G16+'P&amp;L'!H19</f>
        <v>91868.353574602996</v>
      </c>
      <c r="I16" s="24">
        <f>H16+'P&amp;L'!I19</f>
        <v>91868.353574602996</v>
      </c>
      <c r="J16" s="24">
        <f>I16+'P&amp;L'!J19</f>
        <v>91868.353574602996</v>
      </c>
      <c r="L16" s="7" t="s">
        <v>104</v>
      </c>
    </row>
    <row r="17" spans="2:10">
      <c r="B17" s="96" t="s">
        <v>101</v>
      </c>
      <c r="C17" s="97">
        <f t="shared" ref="C17:J17" ca="1" si="4">SUM(C13:C16)</f>
        <v>144575.60000033327</v>
      </c>
      <c r="D17" s="97">
        <f t="shared" ca="1" si="4"/>
        <v>170464.2</v>
      </c>
      <c r="E17" s="97">
        <f t="shared" ca="1" si="4"/>
        <v>187652.2</v>
      </c>
      <c r="F17" s="98">
        <f t="shared" si="4"/>
        <v>142989.153574603</v>
      </c>
      <c r="G17" s="98">
        <f t="shared" si="4"/>
        <v>142989.153574603</v>
      </c>
      <c r="H17" s="98">
        <f t="shared" si="4"/>
        <v>142989.153574603</v>
      </c>
      <c r="I17" s="98">
        <f t="shared" si="4"/>
        <v>142989.153574603</v>
      </c>
      <c r="J17" s="98">
        <f t="shared" si="4"/>
        <v>142989.153574603</v>
      </c>
    </row>
    <row r="18" spans="2:10">
      <c r="F18" s="11"/>
      <c r="G18" s="11"/>
      <c r="H18" s="11"/>
      <c r="I18" s="11"/>
      <c r="J18" s="11"/>
    </row>
    <row r="19" spans="2:10">
      <c r="B19" s="7" t="s">
        <v>102</v>
      </c>
      <c r="C19" s="7">
        <f t="shared" ref="C19:J19" ca="1" si="5">C11-C17</f>
        <v>-3.3326796256005764E-7</v>
      </c>
      <c r="D19" s="7">
        <f t="shared" ca="1" si="5"/>
        <v>0</v>
      </c>
      <c r="E19" s="7">
        <f t="shared" ca="1" si="5"/>
        <v>0</v>
      </c>
      <c r="F19" s="7">
        <f t="shared" ca="1" si="5"/>
        <v>0</v>
      </c>
      <c r="G19" s="7">
        <f t="shared" ca="1" si="5"/>
        <v>0</v>
      </c>
      <c r="H19" s="7">
        <f t="shared" ca="1" si="5"/>
        <v>0</v>
      </c>
      <c r="I19" s="7">
        <f t="shared" ca="1" si="5"/>
        <v>0</v>
      </c>
      <c r="J19" s="7">
        <f t="shared" ca="1" si="5"/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5"/>
  <sheetViews>
    <sheetView zoomScale="130" zoomScaleNormal="130" workbookViewId="0">
      <selection activeCell="G12" sqref="G12"/>
    </sheetView>
  </sheetViews>
  <sheetFormatPr baseColWidth="10" defaultColWidth="9.1640625" defaultRowHeight="12"/>
  <cols>
    <col min="1" max="1" width="2" style="9" customWidth="1"/>
    <col min="2" max="2" width="31.5" style="9" bestFit="1" customWidth="1"/>
    <col min="3" max="3" width="9.1640625" style="9" customWidth="1"/>
    <col min="4" max="4" width="9.5" style="9" bestFit="1" customWidth="1"/>
    <col min="5" max="5" width="9.1640625" style="9"/>
    <col min="6" max="6" width="2" style="9" customWidth="1"/>
    <col min="7" max="11" width="9.1640625" style="9"/>
    <col min="12" max="12" width="2" style="9" customWidth="1"/>
    <col min="13" max="15" width="9.1640625" style="9"/>
    <col min="16" max="16" width="12.83203125" style="9" bestFit="1" customWidth="1"/>
    <col min="17" max="16384" width="9.1640625" style="9"/>
  </cols>
  <sheetData>
    <row r="1" spans="2:13" ht="16">
      <c r="B1" s="10" t="s">
        <v>22</v>
      </c>
      <c r="C1" s="10"/>
    </row>
    <row r="3" spans="2:13" ht="27" thickBot="1">
      <c r="B3" s="14" t="s">
        <v>41</v>
      </c>
      <c r="C3" s="14"/>
      <c r="D3" s="15" t="s">
        <v>154</v>
      </c>
      <c r="E3" s="15" t="s">
        <v>155</v>
      </c>
      <c r="F3" s="18"/>
      <c r="G3" s="16" t="s">
        <v>62</v>
      </c>
      <c r="H3" s="16" t="s">
        <v>63</v>
      </c>
      <c r="I3" s="16" t="s">
        <v>64</v>
      </c>
      <c r="J3" s="16" t="s">
        <v>65</v>
      </c>
      <c r="K3" s="16" t="s">
        <v>66</v>
      </c>
      <c r="L3" s="7"/>
      <c r="M3" s="19" t="s">
        <v>45</v>
      </c>
    </row>
    <row r="4" spans="2:13">
      <c r="B4" s="9" t="s">
        <v>14</v>
      </c>
      <c r="D4" s="9" cm="1">
        <f t="array" aca="1" ref="D4" ca="1">_xlfn.XLOOKUP($B4,ISNEW[Titles],INDIRECT("ISNEW["&amp;D$3&amp;"]"))</f>
        <v>16564.136000000017</v>
      </c>
      <c r="E4" s="9" cm="1">
        <f t="array" aca="1" ref="E4" ca="1">_xlfn.XLOOKUP($B4,ISNEW[Titles],INDIRECT("ISNEW["&amp;E$3&amp;"]"))</f>
        <v>23130.213574602993</v>
      </c>
      <c r="F4" s="27"/>
      <c r="G4" s="60">
        <f>'P&amp;L'!F12</f>
        <v>0</v>
      </c>
      <c r="H4" s="60">
        <f>'P&amp;L'!G12</f>
        <v>0</v>
      </c>
      <c r="I4" s="60">
        <f>'P&amp;L'!H12</f>
        <v>0</v>
      </c>
      <c r="J4" s="60">
        <f>'P&amp;L'!I12</f>
        <v>0</v>
      </c>
      <c r="K4" s="60">
        <f>'P&amp;L'!J12</f>
        <v>0</v>
      </c>
    </row>
    <row r="5" spans="2:13">
      <c r="B5" s="9" t="s">
        <v>105</v>
      </c>
      <c r="D5" s="9">
        <f ca="1">D6*D4</f>
        <v>-3740.0277204742097</v>
      </c>
      <c r="E5" s="9">
        <f ca="1">E6*E4</f>
        <v>-4379.9683364332095</v>
      </c>
      <c r="F5" s="27"/>
      <c r="G5" s="60">
        <f>G6*G4</f>
        <v>0</v>
      </c>
      <c r="H5" s="60">
        <f>H6*H4</f>
        <v>0</v>
      </c>
      <c r="I5" s="60">
        <f t="shared" ref="I5:K5" si="0">I6*I4</f>
        <v>0</v>
      </c>
      <c r="J5" s="60">
        <f t="shared" si="0"/>
        <v>0</v>
      </c>
      <c r="K5" s="60">
        <f t="shared" si="0"/>
        <v>0</v>
      </c>
    </row>
    <row r="6" spans="2:13">
      <c r="B6" s="9" t="s">
        <v>95</v>
      </c>
      <c r="D6" s="21" cm="1">
        <f t="array" aca="1" ref="D6" ca="1">_xlfn.XLOOKUP($B6,ISNEW[Titles],INDIRECT("ISNEW["&amp;D$3&amp;"]"))</f>
        <v>-0.22579069143565386</v>
      </c>
      <c r="E6" s="21" cm="1">
        <f t="array" aca="1" ref="E6" ca="1">_xlfn.XLOOKUP($B6,ISNEW[Titles],INDIRECT("ISNEW["&amp;E$3&amp;"]"))</f>
        <v>-0.18936134430001206</v>
      </c>
      <c r="F6" s="57"/>
      <c r="G6" s="58">
        <f>'P&amp;L'!F16</f>
        <v>0</v>
      </c>
      <c r="H6" s="58">
        <f>'P&amp;L'!G16</f>
        <v>0</v>
      </c>
      <c r="I6" s="58">
        <f>'P&amp;L'!H16</f>
        <v>0</v>
      </c>
      <c r="J6" s="58">
        <f>'P&amp;L'!I16</f>
        <v>0</v>
      </c>
      <c r="K6" s="58">
        <f>'P&amp;L'!J16</f>
        <v>0</v>
      </c>
    </row>
    <row r="7" spans="2:13">
      <c r="B7" s="45" t="s">
        <v>106</v>
      </c>
      <c r="C7" s="45"/>
      <c r="D7" s="45">
        <f ca="1">SUM(D4:D5)</f>
        <v>12824.108279525808</v>
      </c>
      <c r="E7" s="45">
        <f ca="1">SUM(E4:E5)</f>
        <v>18750.245238169784</v>
      </c>
      <c r="F7" s="54"/>
      <c r="G7" s="65">
        <f>SUM(G4:G5)</f>
        <v>0</v>
      </c>
      <c r="H7" s="65">
        <f>SUM(H4:H5)</f>
        <v>0</v>
      </c>
      <c r="I7" s="65">
        <f t="shared" ref="I7:K7" si="1">SUM(I4:I5)</f>
        <v>0</v>
      </c>
      <c r="J7" s="65">
        <f t="shared" si="1"/>
        <v>0</v>
      </c>
      <c r="K7" s="65">
        <f t="shared" si="1"/>
        <v>0</v>
      </c>
    </row>
    <row r="8" spans="2:13" ht="3.75" customHeight="1">
      <c r="B8" s="20"/>
      <c r="C8" s="20"/>
      <c r="D8" s="20"/>
      <c r="E8" s="20"/>
      <c r="G8" s="66"/>
      <c r="H8" s="66"/>
      <c r="I8" s="66"/>
      <c r="J8" s="66"/>
      <c r="K8" s="66"/>
    </row>
    <row r="9" spans="2:13">
      <c r="B9" s="9" t="s">
        <v>13</v>
      </c>
      <c r="D9" s="9" cm="1">
        <f t="array" aca="1" ref="D9" ca="1">-_xlfn.XLOOKUP($B9,ISNEW[Titles],INDIRECT("ISNEW["&amp;D$3&amp;"]"))</f>
        <v>4649.8</v>
      </c>
      <c r="E9" s="9" cm="1">
        <f t="array" aca="1" ref="E9" ca="1">-_xlfn.XLOOKUP($B9,ISNEW[Titles],INDIRECT("ISNEW["&amp;E$3&amp;"]"))</f>
        <v>6430.6600000000008</v>
      </c>
      <c r="G9" s="60">
        <f>-'P&amp;L'!F11</f>
        <v>0</v>
      </c>
      <c r="H9" s="60">
        <f>-'P&amp;L'!G11</f>
        <v>0</v>
      </c>
      <c r="I9" s="60">
        <f>-'P&amp;L'!H11</f>
        <v>0</v>
      </c>
      <c r="J9" s="60">
        <f>-'P&amp;L'!I11</f>
        <v>0</v>
      </c>
      <c r="K9" s="60">
        <f>-'P&amp;L'!J11</f>
        <v>0</v>
      </c>
    </row>
    <row r="10" spans="2:13">
      <c r="B10" s="45" t="s">
        <v>107</v>
      </c>
      <c r="C10" s="45"/>
      <c r="D10" s="45">
        <f ca="1">SUM(D7:D9)</f>
        <v>17473.908279525807</v>
      </c>
      <c r="E10" s="45">
        <f ca="1">SUM(E7:E9)</f>
        <v>25180.905238169784</v>
      </c>
      <c r="F10" s="56"/>
      <c r="G10" s="65">
        <f>SUM(G7:G9)</f>
        <v>0</v>
      </c>
      <c r="H10" s="65">
        <f>SUM(H7:H9)</f>
        <v>0</v>
      </c>
      <c r="I10" s="65">
        <f t="shared" ref="I10:K10" si="2">SUM(I7:I9)</f>
        <v>0</v>
      </c>
      <c r="J10" s="65">
        <f t="shared" si="2"/>
        <v>0</v>
      </c>
      <c r="K10" s="65">
        <f t="shared" si="2"/>
        <v>0</v>
      </c>
      <c r="M10" s="9" t="s">
        <v>118</v>
      </c>
    </row>
    <row r="11" spans="2:13" ht="3.75" customHeight="1">
      <c r="F11" s="26"/>
      <c r="G11" s="60"/>
      <c r="H11" s="60"/>
      <c r="I11" s="60"/>
      <c r="J11" s="60"/>
      <c r="K11" s="60"/>
    </row>
    <row r="12" spans="2:13">
      <c r="B12" s="9" t="s">
        <v>26</v>
      </c>
      <c r="D12" s="9">
        <f ca="1">-(BS!D7-BS!C7)</f>
        <v>-5229.6000000000022</v>
      </c>
      <c r="E12" s="9">
        <f ca="1">-(BS!E7-BS!D7)</f>
        <v>-9815.1999999999971</v>
      </c>
      <c r="F12" s="59"/>
      <c r="G12" s="60">
        <f ca="1">-(BS!F7-BS!E7)</f>
        <v>46212</v>
      </c>
      <c r="H12" s="60">
        <f>-(BS!G7-BS!F7)</f>
        <v>0</v>
      </c>
      <c r="I12" s="60">
        <f>-(BS!H7-BS!G7)</f>
        <v>0</v>
      </c>
      <c r="J12" s="60">
        <f>-(BS!I7-BS!H7)</f>
        <v>0</v>
      </c>
      <c r="K12" s="60">
        <f>-(BS!J7-BS!I7)</f>
        <v>0</v>
      </c>
    </row>
    <row r="13" spans="2:13">
      <c r="B13" s="9" t="s">
        <v>24</v>
      </c>
      <c r="D13" s="9">
        <f ca="1">-(BS!D8-BS!C8)</f>
        <v>-5672.4000000000015</v>
      </c>
      <c r="E13" s="9">
        <f ca="1">-(BS!E8-BS!D8)</f>
        <v>-5025.5999999999985</v>
      </c>
      <c r="F13" s="59"/>
      <c r="G13" s="60">
        <f ca="1">-(BS!F8-BS!E8)</f>
        <v>43581.599999999999</v>
      </c>
      <c r="H13" s="60">
        <f>-(BS!G8-BS!F8)</f>
        <v>0</v>
      </c>
      <c r="I13" s="60">
        <f>-(BS!H8-BS!G8)</f>
        <v>0</v>
      </c>
      <c r="J13" s="60">
        <f>-(BS!I8-BS!H8)</f>
        <v>0</v>
      </c>
      <c r="K13" s="60">
        <f>-(BS!J8-BS!I8)</f>
        <v>0</v>
      </c>
    </row>
    <row r="14" spans="2:13">
      <c r="B14" s="9" t="s">
        <v>108</v>
      </c>
      <c r="D14" s="9">
        <f ca="1">BS!D13-BS!C13</f>
        <v>10460.399999999998</v>
      </c>
      <c r="E14" s="9">
        <f ca="1">BS!E13-BS!D13</f>
        <v>9838</v>
      </c>
      <c r="G14" s="60">
        <f ca="1">BS!F13-BS!E13</f>
        <v>-36189.599999999999</v>
      </c>
      <c r="H14" s="60">
        <f>BS!G13-BS!F13</f>
        <v>0</v>
      </c>
      <c r="I14" s="60">
        <f>BS!H13-BS!G13</f>
        <v>0</v>
      </c>
      <c r="J14" s="60">
        <f>BS!I13-BS!H13</f>
        <v>0</v>
      </c>
      <c r="K14" s="60">
        <f>BS!J13-BS!I13</f>
        <v>0</v>
      </c>
    </row>
    <row r="15" spans="2:13">
      <c r="B15" s="45" t="s">
        <v>109</v>
      </c>
      <c r="C15" s="45"/>
      <c r="D15" s="45">
        <f ca="1">SUM(D12:D14)</f>
        <v>-441.60000000000582</v>
      </c>
      <c r="E15" s="45">
        <f ca="1">SUM(E12:E14)</f>
        <v>-5002.7999999999956</v>
      </c>
      <c r="F15" s="56"/>
      <c r="G15" s="65">
        <f ca="1">SUM(G12:G14)</f>
        <v>53604.000000000007</v>
      </c>
      <c r="H15" s="65">
        <f>SUM(H12:H14)</f>
        <v>0</v>
      </c>
      <c r="I15" s="65">
        <f t="shared" ref="I15:K15" si="3">SUM(I12:I14)</f>
        <v>0</v>
      </c>
      <c r="J15" s="65">
        <f t="shared" si="3"/>
        <v>0</v>
      </c>
      <c r="K15" s="65">
        <f t="shared" si="3"/>
        <v>0</v>
      </c>
      <c r="M15" s="9" t="s">
        <v>119</v>
      </c>
    </row>
    <row r="16" spans="2:13">
      <c r="B16" s="53" t="s">
        <v>110</v>
      </c>
      <c r="C16" s="53"/>
      <c r="D16" s="53">
        <f ca="1">-(BS!D9-BS!C9)+BS!D14-BS!C14</f>
        <v>-2686.2826669999986</v>
      </c>
      <c r="E16" s="53">
        <f ca="1">-(BS!E9-BS!D9)+BS!E14-BS!D14</f>
        <v>-3570.5095746029601</v>
      </c>
      <c r="G16" s="67">
        <f ca="1">-(BS!F9-BS!E9)+BS!F14-BS!E14</f>
        <v>9129.3535746029593</v>
      </c>
      <c r="H16" s="67">
        <f>-(BS!G9-BS!F9)+BS!G14-BS!F14</f>
        <v>0</v>
      </c>
      <c r="I16" s="67">
        <f>-(BS!H9-BS!G9)+BS!H14-BS!G14</f>
        <v>0</v>
      </c>
      <c r="J16" s="67">
        <f>-(BS!I9-BS!H9)+BS!I14-BS!H14</f>
        <v>0</v>
      </c>
      <c r="K16" s="67">
        <f>-(BS!J9-BS!I9)+BS!J14-BS!I14</f>
        <v>0</v>
      </c>
      <c r="M16" s="9" t="s">
        <v>120</v>
      </c>
    </row>
    <row r="17" spans="2:13" ht="3.75" customHeight="1">
      <c r="B17" s="53"/>
      <c r="C17" s="53"/>
      <c r="D17" s="53"/>
      <c r="E17" s="53"/>
      <c r="G17" s="67"/>
      <c r="H17" s="67"/>
      <c r="I17" s="67"/>
      <c r="J17" s="67"/>
      <c r="K17" s="67"/>
    </row>
    <row r="18" spans="2:13">
      <c r="B18" s="53" t="s">
        <v>111</v>
      </c>
      <c r="C18" s="53"/>
      <c r="D18" s="53">
        <f ca="1">-(BS!D5-BS!C5)+'P&amp;L'!D11</f>
        <v>-8615.7999999999993</v>
      </c>
      <c r="E18" s="53">
        <f ca="1">-(BS!E5-BS!D5)+'P&amp;L'!E11</f>
        <v>-13467.459999999995</v>
      </c>
      <c r="G18" s="67">
        <f ca="1">-(BS!F5-BS!E5)+'P&amp;L'!F11</f>
        <v>56109.2</v>
      </c>
      <c r="H18" s="67">
        <f>-(BS!G5-BS!F5)+'P&amp;L'!G11</f>
        <v>0</v>
      </c>
      <c r="I18" s="67">
        <f>-(BS!H5-BS!G5)+'P&amp;L'!H11</f>
        <v>0</v>
      </c>
      <c r="J18" s="67">
        <f>-(BS!I5-BS!H5)+'P&amp;L'!I11</f>
        <v>0</v>
      </c>
      <c r="K18" s="67">
        <f>-(BS!J5-BS!I5)+'P&amp;L'!J11</f>
        <v>0</v>
      </c>
      <c r="M18" s="9" t="s">
        <v>121</v>
      </c>
    </row>
    <row r="19" spans="2:13">
      <c r="B19" s="53" t="s">
        <v>113</v>
      </c>
      <c r="C19" s="53"/>
      <c r="D19" s="53">
        <f>-(BS!D4-BS!C4)-(BS!D6-BS!C6)</f>
        <v>-885.39999999999964</v>
      </c>
      <c r="E19" s="53">
        <f>-(BS!E4-BS!D4)-(BS!E6-BS!D6)</f>
        <v>-302</v>
      </c>
      <c r="F19" s="38"/>
      <c r="G19" s="67">
        <f>-(BS!F4-BS!E4)-(BS!F6-BS!E6)</f>
        <v>0</v>
      </c>
      <c r="H19" s="67">
        <f>-(BS!G4-BS!F4)-(BS!G6-BS!F6)</f>
        <v>0</v>
      </c>
      <c r="I19" s="67">
        <f>-(BS!H4-BS!G4)-(BS!H6-BS!G6)</f>
        <v>0</v>
      </c>
      <c r="J19" s="67">
        <f>-(BS!I4-BS!H4)-(BS!I6-BS!H6)</f>
        <v>0</v>
      </c>
      <c r="K19" s="67">
        <f>-(BS!J4-BS!I4)-(BS!J6-BS!I6)</f>
        <v>0</v>
      </c>
      <c r="M19" s="9" t="s">
        <v>122</v>
      </c>
    </row>
    <row r="20" spans="2:13" ht="3.75" customHeight="1">
      <c r="G20" s="60"/>
      <c r="H20" s="60"/>
      <c r="I20" s="60"/>
      <c r="J20" s="60"/>
      <c r="K20" s="60"/>
    </row>
    <row r="21" spans="2:13">
      <c r="B21" s="53" t="s">
        <v>15</v>
      </c>
      <c r="C21" s="55"/>
      <c r="D21" s="9" cm="1">
        <f t="array" aca="1" ref="D21" ca="1">_xlfn.XLOOKUP($B21,ISNEW[Titles],INDIRECT("ISNEW["&amp;D$3&amp;"]"))</f>
        <v>-864.30000000000007</v>
      </c>
      <c r="E21" s="9" cm="1">
        <f t="array" aca="1" ref="E21" ca="1">_xlfn.XLOOKUP($B21,ISNEW[Titles],INDIRECT("ISNEW["&amp;E$3&amp;"]"))</f>
        <v>-320.26</v>
      </c>
      <c r="F21" s="61"/>
      <c r="G21" s="67">
        <f>'P&amp;L'!F14</f>
        <v>0</v>
      </c>
      <c r="H21" s="67">
        <f>'P&amp;L'!G14</f>
        <v>0</v>
      </c>
      <c r="I21" s="67">
        <f>'P&amp;L'!H14</f>
        <v>0</v>
      </c>
      <c r="J21" s="67">
        <f>'P&amp;L'!I14</f>
        <v>0</v>
      </c>
      <c r="K21" s="67">
        <f>'P&amp;L'!J14</f>
        <v>0</v>
      </c>
      <c r="M21" s="9" t="s">
        <v>123</v>
      </c>
    </row>
    <row r="22" spans="2:13" ht="3.75" customHeight="1">
      <c r="G22" s="60"/>
      <c r="H22" s="60"/>
      <c r="I22" s="60"/>
      <c r="J22" s="60"/>
      <c r="K22" s="60"/>
    </row>
    <row r="23" spans="2:13">
      <c r="B23" s="48" t="s">
        <v>112</v>
      </c>
      <c r="C23" s="48"/>
      <c r="D23" s="48">
        <f ca="1">SUM(D10,D15,D16,D18,D19,D21)</f>
        <v>3980.5256125258029</v>
      </c>
      <c r="E23" s="48">
        <f ca="1">SUM(E10,E15,E16,E18,E19,E21)</f>
        <v>2517.8756635668306</v>
      </c>
      <c r="F23" s="48"/>
      <c r="G23" s="48">
        <f ca="1">SUM(G10,G15,G16,G18,G19,G21)</f>
        <v>118842.55357460296</v>
      </c>
      <c r="H23" s="48">
        <f>SUM(H10,H15,H16,H18,H19,H21)</f>
        <v>0</v>
      </c>
      <c r="I23" s="48">
        <f t="shared" ref="I23:K23" si="4">SUM(I10,I15,I16,I18,I19,I21)</f>
        <v>0</v>
      </c>
      <c r="J23" s="48">
        <f t="shared" si="4"/>
        <v>0</v>
      </c>
      <c r="K23" s="48">
        <f t="shared" si="4"/>
        <v>0</v>
      </c>
      <c r="M23" s="9" t="s">
        <v>124</v>
      </c>
    </row>
    <row r="24" spans="2:13" ht="3.75" customHeight="1">
      <c r="B24" s="61"/>
      <c r="G24" s="60"/>
      <c r="H24" s="60"/>
      <c r="I24" s="60"/>
      <c r="J24" s="60"/>
      <c r="K24" s="60"/>
    </row>
    <row r="25" spans="2:13">
      <c r="B25" s="62" t="s">
        <v>92</v>
      </c>
      <c r="C25" s="38"/>
      <c r="D25" s="9" cm="1">
        <f t="array" aca="1" ref="D25" ca="1">_xlfn.XLOOKUP($B25,ISNEW[Titles],INDIRECT("ISNEW["&amp;D$3&amp;"]"))</f>
        <v>-2190.9</v>
      </c>
      <c r="E25" s="9" cm="1">
        <f t="array" aca="1" ref="E25" ca="1">_xlfn.XLOOKUP($B25,ISNEW[Titles],INDIRECT("ISNEW["&amp;E$3&amp;"]"))</f>
        <v>-2663.92</v>
      </c>
      <c r="F25" s="38"/>
      <c r="G25" s="60">
        <f>'P&amp;L'!F13</f>
        <v>0</v>
      </c>
      <c r="H25" s="60">
        <f>'P&amp;L'!G13</f>
        <v>0</v>
      </c>
      <c r="I25" s="60">
        <f>'P&amp;L'!H13</f>
        <v>0</v>
      </c>
      <c r="J25" s="60">
        <f>'P&amp;L'!I13</f>
        <v>0</v>
      </c>
      <c r="K25" s="60">
        <f>'P&amp;L'!J13</f>
        <v>0</v>
      </c>
    </row>
    <row r="26" spans="2:13">
      <c r="B26" s="62" t="s">
        <v>114</v>
      </c>
      <c r="D26" s="9">
        <f ca="1">'P&amp;L'!D17-'Cash Flow'!D5</f>
        <v>689.83572047420967</v>
      </c>
      <c r="E26" s="9">
        <f ca="1">'P&amp;L'!E17-'Cash Flow'!E5</f>
        <v>565.08833643320941</v>
      </c>
      <c r="G26" s="60">
        <f>'P&amp;L'!F17-'Cash Flow'!G5</f>
        <v>0</v>
      </c>
      <c r="H26" s="60">
        <f>'P&amp;L'!G17-'Cash Flow'!H5</f>
        <v>0</v>
      </c>
      <c r="I26" s="60">
        <f>'P&amp;L'!H17-'Cash Flow'!I5</f>
        <v>0</v>
      </c>
      <c r="J26" s="60">
        <f>'P&amp;L'!I17-'Cash Flow'!J5</f>
        <v>0</v>
      </c>
      <c r="K26" s="60">
        <f>'P&amp;L'!J17-'Cash Flow'!K5</f>
        <v>0</v>
      </c>
    </row>
    <row r="27" spans="2:13">
      <c r="B27" s="62" t="s">
        <v>115</v>
      </c>
      <c r="C27" s="39"/>
      <c r="D27" s="9">
        <f>BS!D15-BS!C15</f>
        <v>9352.3999999999942</v>
      </c>
      <c r="E27" s="9">
        <f>BS!E15-BS!D15</f>
        <v>475.39999999999418</v>
      </c>
      <c r="F27" s="40"/>
      <c r="G27" s="60">
        <f>BS!F15-BS!E15</f>
        <v>0</v>
      </c>
      <c r="H27" s="60">
        <f>BS!G15-BS!F15</f>
        <v>0</v>
      </c>
      <c r="I27" s="60">
        <f>BS!H15-BS!G15</f>
        <v>0</v>
      </c>
      <c r="J27" s="60">
        <f>BS!I15-BS!H15</f>
        <v>0</v>
      </c>
      <c r="K27" s="60">
        <f>BS!J15-BS!I15</f>
        <v>0</v>
      </c>
    </row>
    <row r="28" spans="2:13">
      <c r="B28" s="62" t="s">
        <v>116</v>
      </c>
      <c r="C28" s="39"/>
      <c r="D28" s="9">
        <f ca="1">BS!D16-BS!C16-'P&amp;L'!D19</f>
        <v>-4214.2613333332665</v>
      </c>
      <c r="E28" s="9">
        <f ca="1">BS!E16-BS!D16-'P&amp;L'!E19</f>
        <v>-12129.644000000022</v>
      </c>
      <c r="F28" s="40"/>
      <c r="G28" s="60">
        <f>BS!F16-BS!E16-'P&amp;L'!F19</f>
        <v>0</v>
      </c>
      <c r="H28" s="60">
        <f>BS!G16-BS!F16-'P&amp;L'!G19</f>
        <v>0</v>
      </c>
      <c r="I28" s="60">
        <f>BS!H16-BS!G16-'P&amp;L'!H19</f>
        <v>0</v>
      </c>
      <c r="J28" s="60">
        <f>BS!I16-BS!H16-'P&amp;L'!I19</f>
        <v>0</v>
      </c>
      <c r="K28" s="60">
        <f>BS!J16-BS!I16-'P&amp;L'!J19</f>
        <v>0</v>
      </c>
    </row>
    <row r="29" spans="2:13">
      <c r="B29" s="48" t="s">
        <v>117</v>
      </c>
      <c r="C29" s="48"/>
      <c r="D29" s="48">
        <f ca="1">SUM(D23:D28)</f>
        <v>7617.5999996667397</v>
      </c>
      <c r="E29" s="48">
        <f ca="1">SUM(E23:E28)</f>
        <v>-11235.199999999988</v>
      </c>
      <c r="F29" s="48"/>
      <c r="G29" s="48">
        <f ca="1">SUM(G23:G28)</f>
        <v>118842.55357460296</v>
      </c>
      <c r="H29" s="48">
        <f>SUM(H23:H28)</f>
        <v>0</v>
      </c>
      <c r="I29" s="48">
        <f t="shared" ref="I29:K29" si="5">SUM(I23:I28)</f>
        <v>0</v>
      </c>
      <c r="J29" s="48">
        <f t="shared" si="5"/>
        <v>0</v>
      </c>
      <c r="K29" s="48">
        <f t="shared" si="5"/>
        <v>0</v>
      </c>
    </row>
    <row r="30" spans="2:13" ht="3.75" customHeight="1">
      <c r="B30" s="61"/>
      <c r="G30" s="27"/>
      <c r="H30" s="27"/>
      <c r="I30" s="27"/>
      <c r="J30" s="27"/>
      <c r="K30" s="27"/>
    </row>
    <row r="31" spans="2:13">
      <c r="B31" s="63" t="s">
        <v>125</v>
      </c>
      <c r="C31" s="39"/>
      <c r="D31" s="64">
        <f>BS!C10</f>
        <v>11791.199999999999</v>
      </c>
      <c r="E31" s="64">
        <f>BS!D10</f>
        <v>19408.8</v>
      </c>
      <c r="G31" s="64">
        <f>BS!E10</f>
        <v>8173.6</v>
      </c>
      <c r="H31" s="9">
        <f ca="1">BS!F10</f>
        <v>127016.15357460297</v>
      </c>
      <c r="I31" s="9">
        <f ca="1">BS!G10</f>
        <v>127016.15357460297</v>
      </c>
      <c r="J31" s="9">
        <f ca="1">BS!H10</f>
        <v>127016.15357460297</v>
      </c>
      <c r="K31" s="9">
        <f ca="1">BS!I10</f>
        <v>127016.15357460297</v>
      </c>
    </row>
    <row r="32" spans="2:13">
      <c r="B32" s="39" t="s">
        <v>126</v>
      </c>
      <c r="C32" s="39"/>
      <c r="D32" s="39">
        <f ca="1">D29+D31</f>
        <v>19408.799999666739</v>
      </c>
      <c r="E32" s="39">
        <f ca="1">E29+E31</f>
        <v>8173.6000000000113</v>
      </c>
      <c r="G32" s="39">
        <f ca="1">G29+G31</f>
        <v>127016.15357460297</v>
      </c>
      <c r="H32" s="9">
        <f ca="1">H29+H31</f>
        <v>127016.15357460297</v>
      </c>
      <c r="I32" s="9">
        <f t="shared" ref="I32:K32" ca="1" si="6">I29+I31</f>
        <v>127016.15357460297</v>
      </c>
      <c r="J32" s="9">
        <f t="shared" ca="1" si="6"/>
        <v>127016.15357460297</v>
      </c>
      <c r="K32" s="9">
        <f t="shared" ca="1" si="6"/>
        <v>127016.15357460297</v>
      </c>
    </row>
    <row r="34" spans="2:11">
      <c r="B34" s="39" t="s">
        <v>102</v>
      </c>
      <c r="C34" s="39"/>
      <c r="D34" s="39">
        <f>BS!D10</f>
        <v>19408.8</v>
      </c>
      <c r="E34" s="39">
        <f>BS!E10</f>
        <v>8173.6</v>
      </c>
      <c r="G34" s="39">
        <f ca="1">BS!F10</f>
        <v>127016.15357460297</v>
      </c>
      <c r="H34" s="9">
        <f ca="1">BS!G10</f>
        <v>127016.15357460297</v>
      </c>
      <c r="I34" s="9">
        <f ca="1">BS!H10</f>
        <v>127016.15357460297</v>
      </c>
      <c r="J34" s="9">
        <f ca="1">BS!I10</f>
        <v>127016.15357460297</v>
      </c>
      <c r="K34" s="9">
        <f ca="1">BS!J10</f>
        <v>127016.15357460297</v>
      </c>
    </row>
    <row r="35" spans="2:11">
      <c r="B35" s="39"/>
      <c r="C35" s="39"/>
      <c r="D35" s="39">
        <f ca="1">D32-D34</f>
        <v>-3.3326068660244346E-7</v>
      </c>
      <c r="E35" s="39">
        <f ca="1">E32-E34</f>
        <v>1.0913936421275139E-11</v>
      </c>
      <c r="G35" s="39">
        <f ca="1">G32-G34</f>
        <v>0</v>
      </c>
      <c r="H35" s="9">
        <f ca="1">H32-H34</f>
        <v>0</v>
      </c>
      <c r="I35" s="9">
        <f t="shared" ref="I35:K35" ca="1" si="7">I32-I34</f>
        <v>0</v>
      </c>
      <c r="J35" s="9">
        <f t="shared" ca="1" si="7"/>
        <v>0</v>
      </c>
      <c r="K35" s="9">
        <f t="shared" ca="1" si="7"/>
        <v>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S25"/>
  <sheetViews>
    <sheetView topLeftCell="A3" zoomScale="130" zoomScaleNormal="130" workbookViewId="0">
      <selection activeCell="H27" sqref="H27"/>
    </sheetView>
  </sheetViews>
  <sheetFormatPr baseColWidth="10" defaultColWidth="9.1640625" defaultRowHeight="12"/>
  <cols>
    <col min="1" max="1" width="2" style="7" customWidth="1"/>
    <col min="2" max="2" width="22.6640625" style="7" customWidth="1"/>
    <col min="3" max="3" width="10" style="7" bestFit="1" customWidth="1"/>
    <col min="4" max="4" width="9.1640625" style="7"/>
    <col min="5" max="5" width="11.5" style="7" bestFit="1" customWidth="1"/>
    <col min="6" max="6" width="10" style="7" bestFit="1" customWidth="1"/>
    <col min="7" max="10" width="9.1640625" style="7"/>
    <col min="11" max="11" width="2" style="7" customWidth="1"/>
    <col min="12" max="16384" width="9.1640625" style="7"/>
  </cols>
  <sheetData>
    <row r="1" spans="2:14" ht="16">
      <c r="B1" s="6" t="s">
        <v>4</v>
      </c>
    </row>
    <row r="4" spans="2:14">
      <c r="B4" s="7" t="s">
        <v>162</v>
      </c>
      <c r="C4" s="68">
        <v>0.1</v>
      </c>
    </row>
    <row r="5" spans="2:14">
      <c r="B5" s="7" t="s">
        <v>163</v>
      </c>
      <c r="C5" s="68">
        <v>0.02</v>
      </c>
    </row>
    <row r="6" spans="2:14">
      <c r="F6" s="7">
        <v>1</v>
      </c>
      <c r="G6" s="7">
        <v>2</v>
      </c>
      <c r="H6" s="7">
        <v>3</v>
      </c>
      <c r="I6" s="7">
        <v>4</v>
      </c>
      <c r="J6" s="7">
        <v>5</v>
      </c>
    </row>
    <row r="7" spans="2:14" ht="27" thickBot="1">
      <c r="B7" s="14" t="s">
        <v>41</v>
      </c>
      <c r="C7" s="15" t="s">
        <v>59</v>
      </c>
      <c r="D7" s="15" t="s">
        <v>60</v>
      </c>
      <c r="E7" s="15" t="s">
        <v>61</v>
      </c>
      <c r="F7" s="16" t="s">
        <v>62</v>
      </c>
      <c r="G7" s="16" t="s">
        <v>63</v>
      </c>
      <c r="H7" s="16" t="s">
        <v>64</v>
      </c>
      <c r="I7" s="16" t="s">
        <v>65</v>
      </c>
      <c r="J7" s="16" t="s">
        <v>66</v>
      </c>
      <c r="L7" s="19" t="s">
        <v>45</v>
      </c>
    </row>
    <row r="8" spans="2:14">
      <c r="B8" s="7" t="s">
        <v>112</v>
      </c>
      <c r="D8" s="11">
        <f ca="1">'Cash Flow'!D23</f>
        <v>3980.5256125258029</v>
      </c>
      <c r="E8" s="11">
        <f ca="1">'Cash Flow'!E23</f>
        <v>2517.8756635668306</v>
      </c>
      <c r="F8" s="24"/>
      <c r="G8" s="24">
        <f>'Cash Flow'!H23</f>
        <v>0</v>
      </c>
      <c r="H8" s="24">
        <f>'Cash Flow'!I23</f>
        <v>0</v>
      </c>
      <c r="I8" s="24">
        <f>'Cash Flow'!J23</f>
        <v>0</v>
      </c>
      <c r="J8" s="24">
        <f>'Cash Flow'!K23</f>
        <v>0</v>
      </c>
    </row>
    <row r="9" spans="2:14" ht="3.75" customHeight="1">
      <c r="F9" s="24"/>
      <c r="G9" s="24"/>
      <c r="H9" s="24"/>
      <c r="I9" s="24"/>
      <c r="J9" s="24"/>
    </row>
    <row r="10" spans="2:14">
      <c r="B10" s="7" t="s">
        <v>127</v>
      </c>
      <c r="F10" s="69"/>
      <c r="G10" s="69"/>
      <c r="H10" s="69"/>
      <c r="I10" s="69"/>
      <c r="J10" s="69"/>
    </row>
    <row r="11" spans="2:14">
      <c r="B11" s="45" t="s">
        <v>128</v>
      </c>
      <c r="C11" s="45"/>
      <c r="D11" s="45"/>
      <c r="E11" s="45"/>
      <c r="F11" s="70">
        <f>F8*F10</f>
        <v>0</v>
      </c>
      <c r="G11" s="70">
        <f t="shared" ref="G11:J11" si="0">G8*G10</f>
        <v>0</v>
      </c>
      <c r="H11" s="70">
        <f t="shared" si="0"/>
        <v>0</v>
      </c>
      <c r="I11" s="70">
        <f t="shared" si="0"/>
        <v>0</v>
      </c>
      <c r="J11" s="70">
        <f t="shared" si="0"/>
        <v>0</v>
      </c>
    </row>
    <row r="12" spans="2:14">
      <c r="F12" s="37"/>
      <c r="G12" s="11"/>
      <c r="H12" s="11"/>
      <c r="I12" s="11"/>
      <c r="J12" s="11"/>
    </row>
    <row r="13" spans="2:14">
      <c r="F13" s="37"/>
      <c r="G13" s="11"/>
      <c r="H13" s="11"/>
      <c r="I13" s="11"/>
      <c r="J13" s="11"/>
    </row>
    <row r="14" spans="2:14">
      <c r="B14" s="99" t="s">
        <v>4</v>
      </c>
      <c r="C14" s="99"/>
      <c r="D14" s="99"/>
      <c r="E14" s="99"/>
      <c r="F14" s="99"/>
      <c r="G14" s="99"/>
      <c r="H14" s="99"/>
      <c r="I14" s="99"/>
      <c r="J14" s="99"/>
      <c r="N14" s="21"/>
    </row>
    <row r="15" spans="2:14">
      <c r="B15" s="7" t="s">
        <v>129</v>
      </c>
      <c r="D15" s="7" t="s">
        <v>130</v>
      </c>
      <c r="E15" s="21"/>
      <c r="F15" s="37"/>
      <c r="G15" s="11"/>
      <c r="H15" s="11"/>
      <c r="I15" s="11"/>
      <c r="J15" s="11"/>
    </row>
    <row r="16" spans="2:14">
      <c r="B16" s="7" t="s">
        <v>131</v>
      </c>
      <c r="D16" s="7" t="s">
        <v>130</v>
      </c>
      <c r="E16" s="21"/>
    </row>
    <row r="17" spans="2:19" ht="15">
      <c r="B17" s="7" t="s">
        <v>132</v>
      </c>
      <c r="D17" s="7" t="s">
        <v>130</v>
      </c>
      <c r="E17" s="21"/>
      <c r="N17" s="100"/>
      <c r="O17" s="100"/>
      <c r="P17" s="101"/>
      <c r="Q17" s="101"/>
      <c r="R17" s="101"/>
      <c r="S17" s="101"/>
    </row>
    <row r="18" spans="2:19">
      <c r="B18" s="71" t="s">
        <v>133</v>
      </c>
      <c r="C18" s="71"/>
      <c r="D18" s="71" t="s">
        <v>130</v>
      </c>
    </row>
    <row r="19" spans="2:19">
      <c r="B19" s="7" t="s">
        <v>134</v>
      </c>
    </row>
    <row r="20" spans="2:19">
      <c r="B20" s="7" t="s">
        <v>135</v>
      </c>
    </row>
    <row r="21" spans="2:19">
      <c r="B21" s="71" t="s">
        <v>136</v>
      </c>
      <c r="C21" s="71"/>
      <c r="D21" s="71" t="s">
        <v>130</v>
      </c>
      <c r="F21" s="72"/>
      <c r="G21" s="73">
        <v>0.09</v>
      </c>
      <c r="H21" s="73">
        <v>0.1</v>
      </c>
      <c r="I21" s="73">
        <v>0.11</v>
      </c>
      <c r="J21" s="73">
        <v>0.12</v>
      </c>
    </row>
    <row r="22" spans="2:19">
      <c r="F22" s="74">
        <v>0.01</v>
      </c>
      <c r="G22" s="11"/>
      <c r="H22" s="11"/>
      <c r="I22" s="11"/>
      <c r="J22" s="11"/>
    </row>
    <row r="23" spans="2:19">
      <c r="F23" s="74">
        <v>0.02</v>
      </c>
      <c r="G23" s="11"/>
      <c r="H23" s="11"/>
      <c r="I23" s="11"/>
      <c r="J23" s="11"/>
    </row>
    <row r="24" spans="2:19">
      <c r="F24" s="74">
        <v>0.03</v>
      </c>
      <c r="G24" s="11"/>
      <c r="H24" s="11"/>
      <c r="I24" s="11"/>
      <c r="J24" s="11"/>
    </row>
    <row r="25" spans="2:19">
      <c r="F25" s="74">
        <v>0.04</v>
      </c>
      <c r="G25" s="11"/>
      <c r="H25" s="11"/>
      <c r="I25" s="11"/>
      <c r="J25" s="11"/>
    </row>
  </sheetData>
  <mergeCells count="1">
    <mergeCell ref="B14:J14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zoomScale="130" zoomScaleNormal="130" workbookViewId="0">
      <selection activeCell="R22" sqref="R22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56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648A0-256A-442A-A144-9C760A02F237}">
  <dimension ref="B1:K6"/>
  <sheetViews>
    <sheetView workbookViewId="0">
      <selection activeCell="G6" sqref="G6"/>
    </sheetView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/>
    <col min="6" max="6" width="2" style="1" customWidth="1"/>
    <col min="7" max="16384" width="9.1640625" style="1"/>
  </cols>
  <sheetData>
    <row r="1" spans="2:11" ht="16">
      <c r="B1" s="2" t="s">
        <v>47</v>
      </c>
    </row>
    <row r="3" spans="2:11" ht="27" thickBot="1">
      <c r="B3" s="14" t="str">
        <f>'P&amp;L'!B3</f>
        <v>Titles</v>
      </c>
      <c r="C3" s="15" t="str">
        <f>'P&amp;L'!C3</f>
        <v>FY2016</v>
      </c>
      <c r="D3" s="15" t="str">
        <f>'P&amp;L'!D3</f>
        <v>FY2017</v>
      </c>
      <c r="E3" s="15" t="str">
        <f>'P&amp;L'!E3</f>
        <v>FY2018</v>
      </c>
      <c r="F3" s="18"/>
      <c r="G3" s="16" t="str">
        <f>'P&amp;L'!F3</f>
        <v>FY19
Forecast</v>
      </c>
      <c r="H3" s="16" t="str">
        <f>'P&amp;L'!G3</f>
        <v>FY20
Forecast</v>
      </c>
      <c r="I3" s="16" t="str">
        <f>'P&amp;L'!H3</f>
        <v>FY21
Forecast</v>
      </c>
      <c r="J3" s="16" t="str">
        <f>'P&amp;L'!I3</f>
        <v>FY22
Forecast</v>
      </c>
      <c r="K3" s="16" t="str">
        <f>'P&amp;L'!J3</f>
        <v>FY23
Forecast</v>
      </c>
    </row>
    <row r="4" spans="2:11">
      <c r="B4" s="1" t="str">
        <f>'P&amp;L'!B4</f>
        <v>Revenues</v>
      </c>
      <c r="C4" s="75">
        <f ca="1">'P&amp;L'!C4</f>
        <v>177203</v>
      </c>
      <c r="D4" s="75">
        <f ca="1">'P&amp;L'!D4</f>
        <v>188618</v>
      </c>
      <c r="E4" s="75">
        <f ca="1">'P&amp;L'!E4</f>
        <v>208366</v>
      </c>
      <c r="F4" s="75"/>
      <c r="G4" s="76">
        <f>'P&amp;L'!F4</f>
        <v>0</v>
      </c>
      <c r="H4" s="76">
        <f>'P&amp;L'!G4</f>
        <v>0</v>
      </c>
      <c r="I4" s="76">
        <f>'P&amp;L'!H4</f>
        <v>0</v>
      </c>
      <c r="J4" s="76">
        <f>'P&amp;L'!I4</f>
        <v>0</v>
      </c>
      <c r="K4" s="76">
        <f>'P&amp;L'!J4</f>
        <v>0</v>
      </c>
    </row>
    <row r="5" spans="2:11">
      <c r="B5" s="1" t="s">
        <v>12</v>
      </c>
      <c r="C5" s="75">
        <f ca="1">'P&amp;L'!C10</f>
        <v>20317.317333333289</v>
      </c>
      <c r="D5" s="75">
        <f ca="1">'P&amp;L'!D10</f>
        <v>21213.936000000016</v>
      </c>
      <c r="E5" s="75">
        <f ca="1">'P&amp;L'!E10</f>
        <v>29560.873574602992</v>
      </c>
      <c r="F5" s="75"/>
      <c r="G5" s="76">
        <f>'P&amp;L'!F10</f>
        <v>0</v>
      </c>
      <c r="H5" s="76">
        <f>'P&amp;L'!G10</f>
        <v>0</v>
      </c>
      <c r="I5" s="76">
        <f>'P&amp;L'!H10</f>
        <v>0</v>
      </c>
      <c r="J5" s="76">
        <f>'P&amp;L'!I10</f>
        <v>0</v>
      </c>
      <c r="K5" s="76">
        <f>'P&amp;L'!J10</f>
        <v>0</v>
      </c>
    </row>
    <row r="6" spans="2:11">
      <c r="B6" s="1" t="s">
        <v>137</v>
      </c>
      <c r="C6" s="22">
        <f ca="1">C5/C4</f>
        <v>0.11465560590584409</v>
      </c>
      <c r="D6" s="22">
        <f ca="1">D5/D4</f>
        <v>0.11247036868167416</v>
      </c>
      <c r="E6" s="22">
        <f ca="1">E5/E4</f>
        <v>0.14186994795025576</v>
      </c>
      <c r="F6" s="22"/>
      <c r="G6" s="77" t="e">
        <f>G5/G4</f>
        <v>#DIV/0!</v>
      </c>
      <c r="H6" s="77" t="e">
        <f>H5/H4</f>
        <v>#DIV/0!</v>
      </c>
      <c r="I6" s="77" t="e">
        <f>I5/I4</f>
        <v>#DIV/0!</v>
      </c>
      <c r="J6" s="77" t="e">
        <f>J5/J4</f>
        <v>#DIV/0!</v>
      </c>
      <c r="K6" s="77" t="e">
        <f>K5/K4</f>
        <v>#DIV/0!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3EE4-1D39-4397-8012-46C34685928E}">
  <dimension ref="B1:G5"/>
  <sheetViews>
    <sheetView workbookViewId="0">
      <selection activeCell="B29" sqref="B29"/>
    </sheetView>
  </sheetViews>
  <sheetFormatPr baseColWidth="10" defaultColWidth="9.1640625" defaultRowHeight="12"/>
  <cols>
    <col min="1" max="1" width="2" style="1" customWidth="1"/>
    <col min="2" max="2" width="19.5" style="1" bestFit="1" customWidth="1"/>
    <col min="3" max="16384" width="9.1640625" style="1"/>
  </cols>
  <sheetData>
    <row r="1" spans="2:7" ht="16">
      <c r="B1" s="2" t="s">
        <v>48</v>
      </c>
    </row>
    <row r="3" spans="2:7" ht="27" thickBot="1">
      <c r="B3" s="14" t="s">
        <v>41</v>
      </c>
      <c r="C3" s="16" t="s">
        <v>62</v>
      </c>
      <c r="D3" s="16" t="s">
        <v>63</v>
      </c>
      <c r="E3" s="16" t="s">
        <v>64</v>
      </c>
      <c r="F3" s="16" t="s">
        <v>65</v>
      </c>
      <c r="G3" s="16" t="s">
        <v>66</v>
      </c>
    </row>
    <row r="4" spans="2:7">
      <c r="B4" s="7" t="s">
        <v>112</v>
      </c>
      <c r="C4" s="24">
        <f>'DCF valuation'!F8</f>
        <v>0</v>
      </c>
      <c r="D4" s="24">
        <f>'DCF valuation'!G8</f>
        <v>0</v>
      </c>
      <c r="E4" s="24">
        <f>'DCF valuation'!H8</f>
        <v>0</v>
      </c>
      <c r="F4" s="24">
        <f>'DCF valuation'!I8</f>
        <v>0</v>
      </c>
      <c r="G4" s="24">
        <f>'DCF valuation'!J8</f>
        <v>0</v>
      </c>
    </row>
    <row r="5" spans="2:7">
      <c r="B5" s="7" t="s">
        <v>128</v>
      </c>
      <c r="C5" s="24">
        <f>'DCF valuation'!F11</f>
        <v>0</v>
      </c>
      <c r="D5" s="24">
        <f>'DCF valuation'!G11</f>
        <v>0</v>
      </c>
      <c r="E5" s="24">
        <f>'DCF valuation'!H11</f>
        <v>0</v>
      </c>
      <c r="F5" s="24">
        <f>'DCF valuation'!I11</f>
        <v>0</v>
      </c>
      <c r="G5" s="24">
        <f>'DCF valuation'!J11</f>
        <v>0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E6F34-02B6-42F9-8DF3-51946F3B2F00}">
  <dimension ref="B1:O7"/>
  <sheetViews>
    <sheetView workbookViewId="0">
      <selection activeCell="B1" sqref="B1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15" ht="16">
      <c r="B1" s="2" t="s">
        <v>52</v>
      </c>
    </row>
    <row r="2" spans="2:15">
      <c r="K2" s="78">
        <f ca="1">C3</f>
        <v>29560.873574602992</v>
      </c>
      <c r="L2" s="78">
        <f ca="1">K2</f>
        <v>29560.873574602992</v>
      </c>
      <c r="M2" s="79">
        <f ca="1">L2+L3+C5</f>
        <v>-21282.008000000002</v>
      </c>
      <c r="N2" s="79">
        <f ca="1">M2</f>
        <v>-21282.008000000002</v>
      </c>
      <c r="O2" s="80"/>
    </row>
    <row r="3" spans="2:15">
      <c r="B3" s="1" t="s">
        <v>150</v>
      </c>
      <c r="C3" s="1">
        <f ca="1">'P&amp;L'!E10</f>
        <v>29560.873574602992</v>
      </c>
      <c r="K3" s="81">
        <v>0</v>
      </c>
      <c r="L3" s="78">
        <f ca="1">C4</f>
        <v>-208366</v>
      </c>
      <c r="M3" s="79">
        <f ca="1">-C5</f>
        <v>-157523.118425397</v>
      </c>
      <c r="N3" s="79">
        <f ca="1">C6</f>
        <v>23867.008000000009</v>
      </c>
      <c r="O3" s="79">
        <f ca="1">N3+N2</f>
        <v>2585.0000000000073</v>
      </c>
    </row>
    <row r="4" spans="2:15" ht="26">
      <c r="B4" s="1" t="s">
        <v>138</v>
      </c>
      <c r="C4" s="1">
        <f ca="1">'P&amp;L'!F4-'P&amp;L'!E4</f>
        <v>-208366</v>
      </c>
      <c r="K4" s="82" t="str">
        <f>B3</f>
        <v>EBITDA FY18</v>
      </c>
      <c r="L4" s="83" t="str">
        <f>B4</f>
        <v>Delta Revenues</v>
      </c>
      <c r="M4" s="83" t="str">
        <f>B5</f>
        <v>Delta Cogs</v>
      </c>
      <c r="N4" s="83" t="str">
        <f>B6</f>
        <v>Delta Opex</v>
      </c>
      <c r="O4" s="84" t="str">
        <f>B7</f>
        <v>EBITDA FY19</v>
      </c>
    </row>
    <row r="5" spans="2:15">
      <c r="B5" s="1" t="s">
        <v>139</v>
      </c>
      <c r="C5" s="1">
        <f ca="1">'P&amp;L'!F7-'P&amp;L'!E7</f>
        <v>157523.118425397</v>
      </c>
    </row>
    <row r="6" spans="2:15">
      <c r="B6" s="1" t="s">
        <v>140</v>
      </c>
      <c r="C6" s="1">
        <f ca="1">'P&amp;L'!F9-'P&amp;L'!E9</f>
        <v>23867.008000000009</v>
      </c>
    </row>
    <row r="7" spans="2:15">
      <c r="B7" s="1" t="s">
        <v>151</v>
      </c>
    </row>
  </sheetData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544FB-0405-4AD4-AF87-3806086A097A}">
  <dimension ref="B1:K11"/>
  <sheetViews>
    <sheetView workbookViewId="0">
      <selection activeCell="N20" sqref="N20"/>
    </sheetView>
  </sheetViews>
  <sheetFormatPr baseColWidth="10" defaultColWidth="9.1640625" defaultRowHeight="12"/>
  <cols>
    <col min="1" max="1" width="2" style="1" customWidth="1"/>
    <col min="2" max="2" width="18.5" style="1" bestFit="1" customWidth="1"/>
    <col min="3" max="5" width="9.1640625" style="1"/>
    <col min="6" max="6" width="2" style="1" customWidth="1"/>
    <col min="7" max="16384" width="9.1640625" style="1"/>
  </cols>
  <sheetData>
    <row r="1" spans="2:11" ht="16">
      <c r="B1" s="2" t="s">
        <v>53</v>
      </c>
    </row>
    <row r="3" spans="2:11" ht="27" thickBot="1">
      <c r="B3" s="14" t="str">
        <f>BS!B3</f>
        <v>Titles</v>
      </c>
      <c r="C3" s="15" t="str">
        <f>BS!C3</f>
        <v>31Dec16
Actual</v>
      </c>
      <c r="D3" s="15" t="str">
        <f>BS!D3</f>
        <v>31Dec17
Actual</v>
      </c>
      <c r="E3" s="15" t="str">
        <f>BS!E3</f>
        <v>31Dec18
Actual</v>
      </c>
      <c r="F3" s="18"/>
      <c r="G3" s="16" t="str">
        <f>BS!F3</f>
        <v>31Dec19
Forecast</v>
      </c>
      <c r="H3" s="16" t="str">
        <f>BS!G3</f>
        <v>31Dec20
Forecast</v>
      </c>
      <c r="I3" s="16" t="str">
        <f>BS!H3</f>
        <v>31Dec21
Forecast</v>
      </c>
      <c r="J3" s="16" t="str">
        <f>BS!I3</f>
        <v>31Dec22
Forecast</v>
      </c>
      <c r="K3" s="16" t="str">
        <f>BS!J3</f>
        <v>31Dec23
Forecast</v>
      </c>
    </row>
    <row r="4" spans="2:11">
      <c r="B4" s="9" t="str">
        <f>BS!B7</f>
        <v>Inventory</v>
      </c>
      <c r="C4" s="75">
        <f ca="1">BS!C7</f>
        <v>31167.200000000001</v>
      </c>
      <c r="D4" s="75">
        <f ca="1">BS!D7</f>
        <v>36396.800000000003</v>
      </c>
      <c r="E4" s="75">
        <f ca="1">BS!E7</f>
        <v>46212</v>
      </c>
      <c r="F4" s="75"/>
      <c r="G4" s="76">
        <f>BS!F7</f>
        <v>0</v>
      </c>
      <c r="H4" s="76">
        <f>BS!G7</f>
        <v>0</v>
      </c>
      <c r="I4" s="76">
        <f>BS!H7</f>
        <v>0</v>
      </c>
      <c r="J4" s="76">
        <f>BS!I7</f>
        <v>0</v>
      </c>
      <c r="K4" s="76">
        <f>BS!J7</f>
        <v>0</v>
      </c>
    </row>
    <row r="5" spans="2:11">
      <c r="B5" s="1" t="str">
        <f>BS!B8</f>
        <v>Trade receivables</v>
      </c>
      <c r="C5" s="75">
        <f ca="1">BS!C8</f>
        <v>32883.599999999999</v>
      </c>
      <c r="D5" s="75">
        <f ca="1">BS!D8</f>
        <v>38556</v>
      </c>
      <c r="E5" s="75">
        <f ca="1">BS!E8</f>
        <v>43581.599999999999</v>
      </c>
      <c r="F5" s="75"/>
      <c r="G5" s="76">
        <f>BS!F8</f>
        <v>0</v>
      </c>
      <c r="H5" s="76">
        <f>BS!G8</f>
        <v>0</v>
      </c>
      <c r="I5" s="76">
        <f>BS!H8</f>
        <v>0</v>
      </c>
      <c r="J5" s="76">
        <f>BS!I8</f>
        <v>0</v>
      </c>
      <c r="K5" s="76">
        <f>BS!J8</f>
        <v>0</v>
      </c>
    </row>
    <row r="6" spans="2:11">
      <c r="B6" s="1" t="str">
        <f>BS!B13</f>
        <v>Trade payables</v>
      </c>
      <c r="C6" s="75">
        <f ca="1">BS!C13</f>
        <v>15891.2</v>
      </c>
      <c r="D6" s="75">
        <f ca="1">BS!D13</f>
        <v>26351.599999999999</v>
      </c>
      <c r="E6" s="75">
        <f ca="1">BS!E13</f>
        <v>36189.599999999999</v>
      </c>
      <c r="F6" s="75"/>
      <c r="G6" s="76">
        <f>BS!F13</f>
        <v>0</v>
      </c>
      <c r="H6" s="76">
        <f>BS!G13</f>
        <v>0</v>
      </c>
      <c r="I6" s="76">
        <f>BS!H13</f>
        <v>0</v>
      </c>
      <c r="J6" s="76">
        <f>BS!I13</f>
        <v>0</v>
      </c>
      <c r="K6" s="76">
        <f>BS!J13</f>
        <v>0</v>
      </c>
    </row>
    <row r="7" spans="2:11">
      <c r="B7" s="85" t="s">
        <v>53</v>
      </c>
      <c r="C7" s="86">
        <f ca="1">C4+C5-C6</f>
        <v>48159.600000000006</v>
      </c>
      <c r="D7" s="86">
        <f ca="1">D4+D5-D6</f>
        <v>48601.200000000004</v>
      </c>
      <c r="E7" s="86">
        <f ca="1">E4+E5-E6</f>
        <v>53604.000000000007</v>
      </c>
      <c r="F7" s="86"/>
      <c r="G7" s="87">
        <f>G4+G5-G6</f>
        <v>0</v>
      </c>
      <c r="H7" s="87">
        <f>H4+H5-H6</f>
        <v>0</v>
      </c>
      <c r="I7" s="87">
        <f>I4+I5-I6</f>
        <v>0</v>
      </c>
      <c r="J7" s="87">
        <f>J4+J5-J6</f>
        <v>0</v>
      </c>
      <c r="K7" s="87">
        <f>K4+K5-K6</f>
        <v>0</v>
      </c>
    </row>
    <row r="9" spans="2:11">
      <c r="B9" s="9" t="s">
        <v>141</v>
      </c>
      <c r="C9" s="75">
        <f>'BS assumptions'!C6</f>
        <v>0</v>
      </c>
      <c r="D9" s="75">
        <f>'BS assumptions'!D6</f>
        <v>0</v>
      </c>
      <c r="E9" s="75">
        <f>'BS assumptions'!E6</f>
        <v>0</v>
      </c>
      <c r="F9" s="75"/>
      <c r="G9" s="76">
        <f>'BS assumptions'!G6</f>
        <v>0</v>
      </c>
      <c r="H9" s="76">
        <f>'BS assumptions'!H6</f>
        <v>0</v>
      </c>
      <c r="I9" s="76">
        <f>'BS assumptions'!I6</f>
        <v>0</v>
      </c>
      <c r="J9" s="76">
        <f>'BS assumptions'!J6</f>
        <v>0</v>
      </c>
      <c r="K9" s="76">
        <f>'BS assumptions'!K6</f>
        <v>0</v>
      </c>
    </row>
    <row r="10" spans="2:11">
      <c r="B10" s="1" t="s">
        <v>142</v>
      </c>
      <c r="C10" s="75">
        <f>'BS assumptions'!C9</f>
        <v>0</v>
      </c>
      <c r="D10" s="75">
        <f>'BS assumptions'!D9</f>
        <v>0</v>
      </c>
      <c r="E10" s="75">
        <f>'BS assumptions'!E9</f>
        <v>0</v>
      </c>
      <c r="F10" s="75"/>
      <c r="G10" s="76">
        <f>'BS assumptions'!G9</f>
        <v>0</v>
      </c>
      <c r="H10" s="76">
        <f>'BS assumptions'!H9</f>
        <v>0</v>
      </c>
      <c r="I10" s="76">
        <f>'BS assumptions'!I9</f>
        <v>0</v>
      </c>
      <c r="J10" s="76">
        <f>'BS assumptions'!J9</f>
        <v>0</v>
      </c>
      <c r="K10" s="76">
        <f>'BS assumptions'!K9</f>
        <v>0</v>
      </c>
    </row>
    <row r="11" spans="2:11">
      <c r="B11" s="1" t="s">
        <v>143</v>
      </c>
      <c r="C11" s="75">
        <f>'BS assumptions'!C12</f>
        <v>0</v>
      </c>
      <c r="D11" s="75">
        <f>'BS assumptions'!D12</f>
        <v>0</v>
      </c>
      <c r="E11" s="75">
        <f>'BS assumptions'!E12</f>
        <v>0</v>
      </c>
      <c r="F11" s="75"/>
      <c r="G11" s="76">
        <f>'BS assumptions'!G12</f>
        <v>0</v>
      </c>
      <c r="H11" s="76">
        <f>'BS assumptions'!H12</f>
        <v>0</v>
      </c>
      <c r="I11" s="76">
        <f>'BS assumptions'!I12</f>
        <v>0</v>
      </c>
      <c r="J11" s="76">
        <f>'BS assumptions'!J12</f>
        <v>0</v>
      </c>
      <c r="K11" s="76">
        <f>'BS assumptions'!K12</f>
        <v>0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C22ED-7D6E-4C46-A133-F8DBECA419E3}">
  <dimension ref="B1:N7"/>
  <sheetViews>
    <sheetView workbookViewId="0">
      <selection activeCell="C5" sqref="C5"/>
    </sheetView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/>
    <col min="7" max="7" width="19.1640625" style="1" bestFit="1" customWidth="1"/>
    <col min="8" max="12" width="9.1640625" style="1"/>
    <col min="13" max="13" width="19.1640625" style="1" bestFit="1" customWidth="1"/>
    <col min="14" max="16384" width="9.1640625" style="1"/>
  </cols>
  <sheetData>
    <row r="1" spans="2:14" ht="16">
      <c r="B1" s="2" t="s">
        <v>54</v>
      </c>
    </row>
    <row r="4" spans="2:14" ht="13" thickBot="1">
      <c r="B4" s="88" t="s">
        <v>144</v>
      </c>
      <c r="C4" s="89"/>
      <c r="G4" s="88" t="s">
        <v>145</v>
      </c>
      <c r="H4" s="89"/>
      <c r="M4" s="88" t="s">
        <v>146</v>
      </c>
      <c r="N4" s="89"/>
    </row>
    <row r="5" spans="2:14">
      <c r="B5" s="1" t="s">
        <v>147</v>
      </c>
      <c r="C5" s="31">
        <v>208374.25803815882</v>
      </c>
      <c r="G5" s="1" t="s">
        <v>147</v>
      </c>
      <c r="H5" s="31">
        <v>135602.88371797375</v>
      </c>
      <c r="M5" s="1" t="s">
        <v>147</v>
      </c>
      <c r="N5" s="75">
        <v>101216.94166051672</v>
      </c>
    </row>
    <row r="6" spans="2:14">
      <c r="B6" s="1" t="s">
        <v>148</v>
      </c>
      <c r="C6" s="22">
        <v>0.30085866160702229</v>
      </c>
      <c r="G6" s="1" t="s">
        <v>148</v>
      </c>
      <c r="H6" s="90">
        <v>0.31591165336933186</v>
      </c>
      <c r="M6" s="1" t="s">
        <v>148</v>
      </c>
      <c r="N6" s="22">
        <v>0.33470503116615574</v>
      </c>
    </row>
    <row r="7" spans="2:14">
      <c r="B7" s="1" t="s">
        <v>149</v>
      </c>
      <c r="C7" s="22">
        <v>0.69914133839297776</v>
      </c>
      <c r="G7" s="1" t="s">
        <v>149</v>
      </c>
      <c r="H7" s="90">
        <v>0.6840883466306682</v>
      </c>
      <c r="M7" s="1" t="s">
        <v>149</v>
      </c>
      <c r="N7" s="22">
        <v>0.6652949688338442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1.Sources --&gt;</vt:lpstr>
      <vt:lpstr>IS</vt:lpstr>
      <vt:lpstr>BS source</vt:lpstr>
      <vt:lpstr>2.Input --&gt;</vt:lpstr>
      <vt:lpstr>P&amp;L assumptions</vt:lpstr>
      <vt:lpstr>BS assumptions</vt:lpstr>
      <vt:lpstr>3.Output--&gt;</vt:lpstr>
      <vt:lpstr>P&amp;L</vt:lpstr>
      <vt:lpstr>BS</vt:lpstr>
      <vt:lpstr>Cash Flow</vt:lpstr>
      <vt:lpstr>DCF valuation</vt:lpstr>
      <vt:lpstr>4.Charts  --&gt;</vt:lpstr>
      <vt:lpstr>Revenues&amp;Ebitda</vt:lpstr>
      <vt:lpstr>Cash flows</vt:lpstr>
      <vt:lpstr>Ebitda bridge</vt:lpstr>
      <vt:lpstr>Working capital</vt:lpstr>
      <vt:lpstr>DCF 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2022-09-27T03:19:25Z</dcterms:modified>
</cp:coreProperties>
</file>